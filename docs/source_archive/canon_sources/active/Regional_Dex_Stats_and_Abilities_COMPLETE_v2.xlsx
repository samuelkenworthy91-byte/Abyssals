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5dc038096248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ea9b05c2b9844385"/>
    <x:sheet xmlns:r="http://schemas.openxmlformats.org/officeDocument/2006/relationships" name="Full Dex" sheetId="2" r:id="R1adc1714283f4bdf"/>
    <x:sheet xmlns:r="http://schemas.openxmlformats.org/officeDocument/2006/relationships" name="Ability Glossary" sheetId="3" r:id="Rdeb9d9bbd7574ea0"/>
    <x:sheet xmlns:r="http://schemas.openxmlformats.org/officeDocument/2006/relationships" name="Balance Audit" sheetId="4" r:id="R5764d175899d412f"/>
    <x:sheet xmlns:r="http://schemas.openxmlformats.org/officeDocument/2006/relationships" name="Source Notes" sheetId="5" r:id="R6c4cc1bd586d4b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00"/>
    <x:numFmt numFmtId="201" formatCode="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32A31"/>
      <x:name val="Carlito"/>
    </x:font>
    <x:font>
      <x:b/>
      <x:sz val="10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232A31"/>
      <x:name val="Aptos"/>
    </x:font>
    <x:font>
      <x:b/>
      <x:sz val="16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3145"/>
      </x:patternFill>
    </x:fill>
    <x:fill>
      <x:patternFill patternType="solid">
        <x:fgColor rgb="FFC8A85A"/>
      </x:patternFill>
    </x:fill>
    <x:fill>
      <x:patternFill patternType="solid">
        <x:fgColor rgb="FFF7F1E3"/>
      </x:patternFill>
    </x:fill>
  </x:fills>
  <x:borders count="18">
    <x:border/>
    <x:border/>
    <x:border>
      <x:left style="thin">
        <x:color rgb="FFD5D0C6"/>
      </x:left>
      <x:top style="thin">
        <x:color rgb="FFD5D0C6"/>
      </x:top>
    </x:border>
    <x:border>
      <x:right style="thin">
        <x:color rgb="FFD5D0C6"/>
      </x:right>
      <x:top style="thin">
        <x:color rgb="FFD5D0C6"/>
      </x:top>
    </x:border>
    <x:border>
      <x:left style="thin">
        <x:color rgb="FFD5D0C6"/>
      </x:left>
    </x:border>
    <x:border>
      <x:right style="thin">
        <x:color rgb="FFD5D0C6"/>
      </x:right>
    </x:border>
    <x:border>
      <x:left style="thin">
        <x:color rgb="FFD5D0C6"/>
      </x:left>
      <x:bottom style="thin">
        <x:color rgb="FFD5D0C6"/>
      </x:bottom>
    </x:border>
    <x:border>
      <x:right style="thin">
        <x:color rgb="FFD5D0C6"/>
      </x:right>
      <x:bottom style="thin">
        <x:color rgb="FFD5D0C6"/>
      </x:bottom>
    </x:border>
    <x:border>
      <x:left style="thin">
        <x:color rgb="FFD5D0C6"/>
      </x:left>
      <x:top style="thin">
        <x:color rgb="FFD5D0C6"/>
      </x:top>
    </x:border>
    <x:border>
      <x:right style="thin">
        <x:color rgb="FFD5D0C6"/>
      </x:right>
      <x:top style="thin">
        <x:color rgb="FFD5D0C6"/>
      </x:top>
    </x:border>
    <x:border>
      <x:left style="thin">
        <x:color rgb="FFD5D0C6"/>
      </x:left>
    </x:border>
    <x:border>
      <x:right style="thin">
        <x:color rgb="FFD5D0C6"/>
      </x:right>
    </x:border>
    <x:border>
      <x:left style="thin">
        <x:color rgb="FFD5D0C6"/>
      </x:left>
      <x:bottom style="thin">
        <x:color rgb="FFD5D0C6"/>
      </x:bottom>
    </x:border>
    <x:border>
      <x:right style="thin">
        <x:color rgb="FFD5D0C6"/>
      </x:right>
      <x:bottom style="thin">
        <x:color rgb="FFD5D0C6"/>
      </x:bottom>
    </x:border>
    <x:border>
      <x:top style="thin">
        <x:color rgb="FFD5D0C6"/>
      </x:top>
    </x:border>
    <x:border>
      <x:bottom style="thin">
        <x:color rgb="FFD5D0C6"/>
      </x:bottom>
    </x:border>
    <x:border>
      <x:top style="thin">
        <x:color rgb="FFD5D0C6"/>
      </x:top>
    </x:border>
    <x:border>
      <x:bottom style="thin">
        <x:color rgb="FFD5D0C6"/>
      </x:bottom>
    </x:border>
  </x:borders>
  <x:cellStyleXfs count="1">
    <x:xf numFmtId="0" fontId="0" fillId="0" borderId="0"/>
  </x:cellStyleXfs>
  <x:cellXfs count="2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2" borderId="2" xfId="0" applyNumberFormat="1" applyFont="1" applyFill="1" applyBorder="1"/>
    <x:xf numFmtId="0" fontId="0" fillId="2" borderId="3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2" borderId="8" xfId="0" applyNumberFormat="1" applyFont="1" applyFill="1" applyBorder="1"/>
    <x:xf numFmtId="0" fontId="0" fillId="2" borderId="9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10" xfId="0" applyNumberFormat="1" applyFont="1" applyFill="1" applyBorder="1" applyAlignment="1">
      <x:alignment horizontal="center" vertical="center"/>
    </x:xf>
    <x:xf numFmtId="0" fontId="0" fillId="0" borderId="12" xfId="0" applyNumberFormat="1" applyFont="1" applyFill="1" applyBorder="1" applyAlignment="1">
      <x:alignment horizontal="center" vertical="center"/>
    </x:xf>
    <x:xf numFmtId="200" fontId="0" fillId="0" borderId="2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10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center" vertical="center"/>
    </x:xf>
    <x:xf numFmtId="201" fontId="0" fillId="0" borderId="14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5" xfId="0" applyNumberFormat="1" applyFont="1" applyFill="1" applyBorder="1" applyAlignment="1">
      <x:alignment horizontal="center" vertical="center"/>
    </x:xf>
    <x:xf numFmtId="201" fontId="0" fillId="0" borderId="16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1" fontId="0" fillId="0" borderId="17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16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201" fontId="0" fillId="0" borderId="5" xfId="0" applyNumberFormat="1" applyFont="1" applyFill="1" applyBorder="1"/>
    <x:xf numFmtId="201" fontId="0" fillId="0" borderId="7" xfId="0" applyNumberFormat="1" applyFont="1" applyFill="1" applyBorder="1"/>
    <x:xf numFmtId="201" fontId="0" fillId="0" borderId="11" xfId="0" applyNumberFormat="1" applyFont="1" applyFill="1" applyBorder="1"/>
    <x:xf numFmtId="201" fontId="0" fillId="0" borderId="13" xfId="0" applyNumberFormat="1" applyFont="1" applyFill="1" applyBorder="1"/>
    <x:xf numFmtId="0" fontId="3" fillId="2" borderId="14" xfId="0" applyNumberFormat="1" applyFont="1" applyFill="1" applyBorder="1" applyAlignment="1">
      <x:alignment horizontal="center"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5" xfId="0" applyNumberFormat="1" applyFont="1" applyFill="1" applyBorder="1"/>
    <x:xf numFmtId="201" fontId="0" fillId="0" borderId="1" xfId="0" applyNumberFormat="1" applyFont="1" applyFill="1" applyBorder="1"/>
    <x:xf numFmtId="201" fontId="0" fillId="0" borderId="17" xfId="0" applyNumberFormat="1" applyFont="1" applyFill="1" applyBorder="1"/>
    <x:xf numFmtId="0" fontId="0" fillId="2" borderId="14" xfId="0" applyNumberFormat="1" applyFont="1" applyFill="1" applyBorder="1"/>
    <x:xf numFmtId="0" fontId="3" fillId="2" borderId="14" xfId="0" applyNumberFormat="1" applyFont="1" applyFill="1" applyBorder="1"/>
    <x:xf numFmtId="0" fontId="3" fillId="2" borderId="14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horizontal="center" wrapText="1"/>
    </x:xf>
    <x:xf numFmtId="0" fontId="0" fillId="2" borderId="16" xfId="0" applyNumberFormat="1" applyFont="1" applyFill="1" applyBorder="1"/>
    <x:xf numFmtId="0" fontId="3" fillId="2" borderId="16" xfId="0" applyNumberFormat="1" applyFont="1" applyFill="1" applyBorder="1"/>
    <x:xf numFmtId="0" fontId="3" fillId="2" borderId="16" xfId="0" applyNumberFormat="1" applyFont="1" applyFill="1" applyBorder="1" applyAlignment="1">
      <x:alignment wrapText="1"/>
    </x:xf>
    <x:xf numFmtId="0" fontId="3" fillId="2" borderId="16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wrapText="1"/>
    </x:xf>
    <x:xf numFmtId="0" fontId="4" fillId="2" borderId="8" xfId="0" applyNumberFormat="1" applyFont="1" applyFill="1" applyBorder="1" applyAlignment="1">
      <x:alignment horizontal="center" vertical="center" wrapText="1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vertical="center" wrapText="1"/>
    </x:xf>
    <x:xf numFmtId="201" fontId="5" fillId="0" borderId="14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vertical="center" wrapText="1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vertical="center" wrapText="1"/>
    </x:xf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15" xfId="0" applyNumberFormat="1" applyFont="1" applyFill="1" applyBorder="1" applyAlignment="1">
      <x:alignment vertical="center" wrapText="1"/>
    </x:xf>
    <x:xf numFmtId="201" fontId="5" fillId="0" borderId="15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5" fillId="0" borderId="8" xfId="0" applyNumberFormat="1" applyFont="1" applyFill="1" applyBorder="1" applyAlignment="1">
      <x:alignment horizontal="center" vertical="center"/>
    </x:xf>
    <x:xf numFmtId="0" fontId="5" fillId="0" borderId="16" xfId="0" applyNumberFormat="1" applyFont="1" applyFill="1" applyBorder="1" applyAlignment="1">
      <x:alignment vertical="center" wrapText="1"/>
    </x:xf>
    <x:xf numFmtId="201" fontId="5" fillId="0" borderId="1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vertical="center" wrapText="1"/>
    </x:xf>
    <x:xf numFmtId="200" fontId="5" fillId="0" borderId="10" xfId="0" applyNumberFormat="1" applyFont="1" applyFill="1" applyBorder="1" applyAlignment="1">
      <x:alignment horizontal="center" vertical="center"/>
    </x:xf>
    <x:xf numFmtId="0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vertical="center" wrapText="1"/>
    </x:xf>
    <x:xf numFmtId="200" fontId="5" fillId="0" borderId="12" xfId="0" applyNumberFormat="1" applyFont="1" applyFill="1" applyBorder="1" applyAlignment="1">
      <x:alignment horizontal="center" vertical="center"/>
    </x:xf>
    <x:xf numFmtId="0" fontId="5" fillId="0" borderId="17" xfId="0" applyNumberFormat="1" applyFont="1" applyFill="1" applyBorder="1" applyAlignment="1">
      <x:alignment vertical="center" wrapText="1"/>
    </x:xf>
    <x:xf numFmtId="201" fontId="5" fillId="0" borderId="17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horizontal="center"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horizontal="center"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0" borderId="12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horizontal="center"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4" fillId="2" borderId="14" xfId="0" applyNumberFormat="1" applyFont="1" applyFill="1" applyBorder="1" applyAlignment="1">
      <x:alignment horizontal="center" vertical="center" wrapText="1"/>
    </x:xf>
    <x:xf numFmtId="0" fontId="5" fillId="0" borderId="4" xfId="0" applyNumberFormat="1" applyFont="1" applyFill="1" applyBorder="1"/>
    <x:xf numFmtId="201" fontId="5" fillId="0" borderId="5" xfId="0" applyNumberFormat="1" applyFont="1" applyFill="1" applyBorder="1"/>
    <x:xf numFmtId="201" fontId="5" fillId="0" borderId="0" xfId="0" applyNumberFormat="1" applyFont="1" applyFill="1" applyBorder="1"/>
    <x:xf numFmtId="0" fontId="5" fillId="0" borderId="6" xfId="0" applyNumberFormat="1" applyFont="1" applyFill="1" applyBorder="1"/>
    <x:xf numFmtId="201" fontId="5" fillId="0" borderId="7" xfId="0" applyNumberFormat="1" applyFont="1" applyFill="1" applyBorder="1"/>
    <x:xf numFmtId="0" fontId="5" fillId="0" borderId="5" xfId="0" applyNumberFormat="1" applyFont="1" applyFill="1" applyBorder="1"/>
    <x:xf numFmtId="201" fontId="5" fillId="0" borderId="15" xfId="0" applyNumberFormat="1" applyFont="1" applyFill="1" applyBorder="1"/>
    <x:xf numFmtId="0" fontId="5" fillId="0" borderId="7" xfId="0" applyNumberFormat="1" applyFont="1" applyFill="1" applyBorder="1"/>
    <x:xf numFmtId="0" fontId="4" fillId="2" borderId="16" xfId="0" applyNumberFormat="1" applyFont="1" applyFill="1" applyBorder="1" applyAlignment="1">
      <x:alignment horizontal="center" vertical="center" wrapText="1"/>
    </x:xf>
    <x:xf numFmtId="0" fontId="5" fillId="0" borderId="10" xfId="0" applyNumberFormat="1" applyFont="1" applyFill="1" applyBorder="1"/>
    <x:xf numFmtId="201" fontId="5" fillId="0" borderId="11" xfId="0" applyNumberFormat="1" applyFont="1" applyFill="1" applyBorder="1"/>
    <x:xf numFmtId="201" fontId="5" fillId="0" borderId="1" xfId="0" applyNumberFormat="1" applyFont="1" applyFill="1" applyBorder="1"/>
    <x:xf numFmtId="0" fontId="5" fillId="0" borderId="12" xfId="0" applyNumberFormat="1" applyFont="1" applyFill="1" applyBorder="1"/>
    <x:xf numFmtId="201" fontId="5" fillId="0" borderId="13" xfId="0" applyNumberFormat="1" applyFont="1" applyFill="1" applyBorder="1"/>
    <x:xf numFmtId="0" fontId="5" fillId="0" borderId="11" xfId="0" applyNumberFormat="1" applyFont="1" applyFill="1" applyBorder="1"/>
    <x:xf numFmtId="201" fontId="5" fillId="0" borderId="17" xfId="0" applyNumberFormat="1" applyFont="1" applyFill="1" applyBorder="1"/>
    <x:xf numFmtId="0" fontId="5" fillId="0" borderId="13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8B1A1A"/>
      </x:font>
      <x:fill>
        <x:patternFill patternType="solid">
          <x:bgColor rgb="FFF4C7C3"/>
        </x:patternFill>
      </x:fill>
    </x:dxf>
    <x:dxf>
      <x:font>
        <x:b/>
      </x:font>
      <x:fill>
        <x:patternFill patternType="solid">
          <x:bgColor rgb="FFEEE2F5"/>
        </x:patternFill>
      </x:fill>
    </x:dxf>
    <x:dxf>
      <x:fill>
        <x:patternFill patternType="solid">
          <x:bgColor rgb="FFF5E2C6"/>
        </x:patternFill>
      </x:fill>
    </x:dxf>
    <x:dxf>
      <x:font>
        <x:b/>
      </x:font>
      <x:fill>
        <x:patternFill patternType="solid">
          <x:bgColor rgb="FFE8DFF1"/>
        </x:patternFill>
      </x:fill>
    </x:dxf>
    <x:dxf>
      <x:font>
        <x:b/>
      </x:font>
      <x:fill>
        <x:patternFill patternType="solid">
          <x:bgColor rgb="FFE8DFF1"/>
        </x:patternFill>
      </x:fill>
    </x:dxf>
    <x:dxf>
      <x:fill>
        <x:patternFill patternType="solid">
          <x:bgColor rgb="FFE3EE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09d2cfcbf4773" /><Relationship Type="http://schemas.openxmlformats.org/officeDocument/2006/relationships/theme" Target="/xl/theme/theme1.xml" Id="R64795abe64b24d34" /><Relationship Type="http://schemas.openxmlformats.org/officeDocument/2006/relationships/sharedStrings" Target="/xl/sharedStrings.xml" Id="R1564252c7761470d" /><Relationship Type="http://schemas.openxmlformats.org/officeDocument/2006/relationships/worksheet" Target="/xl/worksheets/sheet1.xml" Id="Rea9b05c2b9844385" /><Relationship Type="http://schemas.openxmlformats.org/officeDocument/2006/relationships/worksheet" Target="/xl/worksheets/sheet2.xml" Id="R1adc1714283f4bdf" /><Relationship Type="http://schemas.openxmlformats.org/officeDocument/2006/relationships/worksheet" Target="/xl/worksheets/sheet3.xml" Id="Rdeb9d9bbd7574ea0" /><Relationship Type="http://schemas.openxmlformats.org/officeDocument/2006/relationships/worksheet" Target="/xl/worksheets/sheet4.xml" Id="R5764d175899d412f" /><Relationship Type="http://schemas.openxmlformats.org/officeDocument/2006/relationships/worksheet" Target="/xl/worksheets/sheet5.xml" Id="R6c4cc1bd586d4b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ede086bfba41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Species Count by Power Class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Species Count</c:v>
          </c:tx>
          <c:cat>
            <c:strRef>
              <c:f>'Balance Audit'!$D$4:$D$17</c:f>
              <c:strCache>
                <c:ptCount val="0"/>
              </c:strCache>
            </c:strRef>
          </c:cat>
          <c:val>
            <c:numRef>
              <c:f>'Balance Audit'!$E$4:$E$17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ede086bfba415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leteDexTable" displayName="CompleteDexTable" ref="A2:X189" headerRowCount="1" totalsRowCount="0" totalsRowShown="0">
  <x:tableColumns count="24">
    <x:tableColumn id="1" name="Dex #"/>
    <x:tableColumn id="2" name="Monster"/>
    <x:tableColumn id="3" name="Type 1"/>
    <x:tableColumn id="4" name="Type 2"/>
    <x:tableColumn id="5" name="Role / Evolution Position"/>
    <x:tableColumn id="6" name="Power Class"/>
    <x:tableColumn id="7" name="Stat Shape"/>
    <x:tableColumn id="8" name="Ability 1"/>
    <x:tableColumn id="9" name="Ability 2"/>
    <x:tableColumn id="10" name="Hidden Ability"/>
    <x:tableColumn id="11" name="HP"/>
    <x:tableColumn id="12" name="Attack"/>
    <x:tableColumn id="13" name="Defense"/>
    <x:tableColumn id="14" name="Sp. Atk"/>
    <x:tableColumn id="15" name="Sp. Def"/>
    <x:tableColumn id="16" name="Speed"/>
    <x:tableColumn id="17" name="BST"/>
    <x:tableColumn id="18" name="Target BST"/>
    <x:tableColumn id="19" name="BST Delta"/>
    <x:tableColumn id="20" name="Stat Rationale"/>
    <x:tableColumn id="21" name="A1 Class"/>
    <x:tableColumn id="22" name="A2 Class"/>
    <x:tableColumn id="23" name="HA Class"/>
    <x:tableColumn id="24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bilityGlossaryTable" displayName="AbilityGlossaryTable" ref="A2:F89" headerRowCount="1" totalsRowCount="0" totalsRowShown="0">
  <x:tableColumns count="6">
    <x:tableColumn id="1" name="Ability"/>
    <x:tableColumn id="2" name="Class"/>
    <x:tableColumn id="3" name="Exact Battle Effect"/>
    <x:tableColumn id="4" name="Species Using It"/>
    <x:tableColumn id="5" name="Hidden-Ability Users"/>
    <x:tableColumn id="6" name="Design Int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c58e24a55341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d8bc4f09f8e4f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0b5c9de227834e9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0" customHeight="1">
      <x:c r="A1" s="273" t="str">
        <x:v>Regional Dex — Complete BST &amp; Ability Balance Pass v2</x:v>
      </x:c>
      <x:c r="B1" s="273"/>
      <x:c r="C1" s="273"/>
      <x:c r="D1" s="273"/>
      <x:c r="E1" s="273"/>
      <x:c r="F1" s="273"/>
      <x:c r="G1" s="273"/>
      <x:c r="H1" s="273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  <x:c r="S1" s="176"/>
      <x:c r="T1" s="176"/>
      <x:c r="U1" s="176"/>
      <x:c r="V1" s="176"/>
      <x:c r="W1" s="176"/>
      <x:c r="X1" s="176"/>
    </x:row>
    <x:row r="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  <x:c r="M2" s="176"/>
      <x:c r="N2" s="176"/>
      <x:c r="O2" s="176"/>
      <x:c r="P2" s="176"/>
      <x:c r="Q2" s="176"/>
      <x:c r="R2" s="176"/>
      <x:c r="S2" s="176"/>
      <x:c r="T2" s="176"/>
      <x:c r="U2" s="176"/>
      <x:c r="V2" s="176"/>
      <x:c r="W2" s="176"/>
      <x:c r="X2" s="176"/>
    </x:row>
    <x:row r="3">
      <x:c r="A3" s="177" t="str">
        <x:v>Status</x:v>
      </x:c>
      <x:c r="B3" s="178" t="str">
        <x:v>COMPLETE — all 187 current dex identities balanced</x:v>
      </x:c>
      <x:c r="C3" s="176"/>
      <x:c r="D3" s="176"/>
      <x:c r="E3" s="176"/>
      <x:c r="F3" s="176"/>
      <x:c r="G3" s="176"/>
      <x:c r="H3" s="176"/>
      <x:c r="I3" s="176"/>
      <x:c r="J3" s="176"/>
      <x:c r="K3" s="176"/>
      <x:c r="L3" s="176"/>
      <x:c r="M3" s="176"/>
      <x:c r="N3" s="176"/>
      <x:c r="O3" s="176"/>
      <x:c r="P3" s="176"/>
      <x:c r="Q3" s="176"/>
      <x:c r="R3" s="176"/>
      <x:c r="S3" s="176"/>
      <x:c r="T3" s="176"/>
      <x:c r="U3" s="176"/>
      <x:c r="V3" s="176"/>
      <x:c r="W3" s="176"/>
      <x:c r="X3" s="176"/>
    </x:row>
    <x:row r="4">
      <x:c r="A4" s="177" t="str">
        <x:v>Species</x:v>
      </x:c>
      <x:c r="B4" s="178" t="n">
        <x:v>187</x:v>
      </x:c>
      <x:c r="C4" s="176"/>
      <x:c r="D4" s="176"/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6"/>
      <x:c r="S4" s="176"/>
      <x:c r="T4" s="176"/>
      <x:c r="U4" s="176"/>
      <x:c r="V4" s="176"/>
      <x:c r="W4" s="176"/>
      <x:c r="X4" s="176"/>
    </x:row>
    <x:row r="5">
      <x:c r="A5" s="177" t="str">
        <x:v>Exact stat spreads</x:v>
      </x:c>
      <x:c r="B5" s="178" t="n">
        <x:v>187</x:v>
      </x:c>
      <x:c r="C5" s="176"/>
      <x:c r="D5" s="176"/>
      <x:c r="E5" s="176"/>
      <x:c r="F5" s="176"/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176"/>
      <x:c r="R5" s="176"/>
      <x:c r="S5" s="176"/>
      <x:c r="T5" s="176"/>
      <x:c r="U5" s="176"/>
      <x:c r="V5" s="176"/>
      <x:c r="W5" s="176"/>
      <x:c r="X5" s="176"/>
    </x:row>
    <x:row r="6">
      <x:c r="A6" s="177" t="str">
        <x:v>BST mismatches</x:v>
      </x:c>
      <x:c r="B6" s="178" t="n">
        <x:f>COUNTIF('Full Dex'!S3:S189,"&lt;&gt;0")</x:f>
        <x:v>0</x:v>
      </x:c>
      <x:c r="C6" s="176"/>
      <x:c r="D6" s="176"/>
      <x:c r="E6" s="176"/>
      <x:c r="F6" s="176"/>
      <x:c r="G6" s="176"/>
      <x:c r="H6" s="176"/>
      <x:c r="I6" s="176"/>
      <x:c r="J6" s="176"/>
      <x:c r="K6" s="176"/>
      <x:c r="L6" s="176"/>
      <x:c r="M6" s="176"/>
      <x:c r="N6" s="176"/>
      <x:c r="O6" s="176"/>
      <x:c r="P6" s="176"/>
      <x:c r="Q6" s="176"/>
      <x:c r="R6" s="176"/>
      <x:c r="S6" s="176"/>
      <x:c r="T6" s="176"/>
      <x:c r="U6" s="176"/>
      <x:c r="V6" s="176"/>
      <x:c r="W6" s="176"/>
      <x:c r="X6" s="176"/>
    </x:row>
    <x:row r="7">
      <x:c r="A7" s="177" t="str">
        <x:v>Ability pool size</x:v>
      </x:c>
      <x:c r="B7" s="178" t="n">
        <x:v>87</x:v>
      </x:c>
      <x:c r="C7" s="176"/>
      <x:c r="D7" s="176"/>
      <x:c r="E7" s="176"/>
      <x:c r="F7" s="176"/>
      <x:c r="G7" s="176"/>
      <x:c r="H7" s="176"/>
      <x:c r="I7" s="176"/>
      <x:c r="J7" s="176"/>
      <x:c r="K7" s="176"/>
      <x:c r="L7" s="176"/>
      <x:c r="M7" s="176"/>
      <x:c r="N7" s="176"/>
      <x:c r="O7" s="176"/>
      <x:c r="P7" s="176"/>
      <x:c r="Q7" s="176"/>
      <x:c r="R7" s="176"/>
      <x:c r="S7" s="176"/>
      <x:c r="T7" s="176"/>
      <x:c r="U7" s="176"/>
      <x:c r="V7" s="176"/>
      <x:c r="W7" s="176"/>
      <x:c r="X7" s="176"/>
    </x:row>
    <x:row r="8">
      <x:c r="A8" s="177" t="str">
        <x:v>Source authority</x:v>
      </x:c>
      <x:c r="B8" s="178" t="str">
        <x:v>187-Monster Ability &amp; BST Design Handoff from the design chat</x:v>
      </x:c>
      <x:c r="C8" s="176"/>
      <x:c r="D8" s="176"/>
      <x:c r="E8" s="176"/>
      <x:c r="F8" s="176"/>
      <x:c r="G8" s="176"/>
      <x:c r="H8" s="176"/>
      <x:c r="I8" s="176"/>
      <x:c r="J8" s="176"/>
      <x:c r="K8" s="176"/>
      <x:c r="L8" s="176"/>
      <x:c r="M8" s="176"/>
      <x:c r="N8" s="176"/>
      <x:c r="O8" s="176"/>
      <x:c r="P8" s="176"/>
      <x:c r="Q8" s="176"/>
      <x:c r="R8" s="176"/>
      <x:c r="S8" s="176"/>
      <x:c r="T8" s="176"/>
      <x:c r="U8" s="176"/>
      <x:c r="V8" s="176"/>
      <x:c r="W8" s="176"/>
      <x:c r="X8" s="176"/>
    </x:row>
    <x:row r="9">
      <x:c r="A9" s="176"/>
      <x:c r="B9" s="176"/>
      <x:c r="C9" s="176"/>
      <x:c r="D9" s="176"/>
      <x:c r="E9" s="176"/>
      <x:c r="F9" s="176"/>
      <x:c r="G9" s="176"/>
      <x:c r="H9" s="176"/>
      <x:c r="I9" s="176"/>
      <x:c r="J9" s="176"/>
      <x:c r="K9" s="176"/>
      <x:c r="L9" s="176"/>
      <x:c r="M9" s="176"/>
      <x:c r="N9" s="176"/>
      <x:c r="O9" s="176"/>
      <x:c r="P9" s="176"/>
      <x:c r="Q9" s="176"/>
      <x:c r="R9" s="176"/>
      <x:c r="S9" s="176"/>
      <x:c r="T9" s="176"/>
      <x:c r="U9" s="176"/>
      <x:c r="V9" s="176"/>
      <x:c r="W9" s="176"/>
      <x:c r="X9" s="176"/>
    </x:row>
    <x:row r="10">
      <x:c r="A10" s="177" t="str">
        <x:v>Locked balance framework</x:v>
      </x:c>
      <x:c r="B10" s="177"/>
      <x:c r="C10" s="177"/>
      <x:c r="D10" s="177"/>
      <x:c r="E10" s="177"/>
      <x:c r="F10" s="177"/>
      <x:c r="G10" s="177"/>
      <x:c r="H10" s="177"/>
      <x:c r="I10" s="176"/>
      <x:c r="J10" s="176"/>
      <x:c r="K10" s="176"/>
      <x:c r="L10" s="176"/>
      <x:c r="M10" s="176"/>
      <x:c r="N10" s="176"/>
      <x:c r="O10" s="176"/>
      <x:c r="P10" s="176"/>
      <x:c r="Q10" s="176"/>
      <x:c r="R10" s="176"/>
      <x:c r="S10" s="176"/>
      <x:c r="T10" s="176"/>
      <x:c r="U10" s="176"/>
      <x:c r="V10" s="176"/>
      <x:c r="W10" s="176"/>
      <x:c r="X10" s="176"/>
    </x:row>
    <x:row r="11">
      <x:c r="A11" s="179" t="str">
        <x:v>Band</x:v>
      </x:c>
      <x:c r="B11" s="180" t="str">
        <x:v>Production rule</x:v>
      </x:c>
      <x:c r="C11" s="176"/>
      <x:c r="D11" s="176"/>
      <x:c r="E11" s="176"/>
      <x:c r="F11" s="176"/>
      <x:c r="G11" s="176"/>
      <x:c r="H11" s="176"/>
      <x:c r="I11" s="176"/>
      <x:c r="J11" s="176"/>
      <x:c r="K11" s="176"/>
      <x:c r="L11" s="176"/>
      <x:c r="M11" s="176"/>
      <x:c r="N11" s="176"/>
      <x:c r="O11" s="176"/>
      <x:c r="P11" s="176"/>
      <x:c r="Q11" s="176"/>
      <x:c r="R11" s="176"/>
      <x:c r="S11" s="176"/>
      <x:c r="T11" s="176"/>
      <x:c r="U11" s="176"/>
      <x:c r="V11" s="176"/>
      <x:c r="W11" s="176"/>
      <x:c r="X11" s="176"/>
    </x:row>
    <x:row r="12">
      <x:c r="A12" s="181" t="str">
        <x:v>Early-route / ordinary base</x:v>
      </x:c>
      <x:c r="B12" s="182" t="str">
        <x:v>Usually 285–310 BST</x:v>
      </x:c>
      <x:c r="C12" s="176"/>
      <x:c r="D12" s="176"/>
      <x:c r="E12" s="176"/>
      <x:c r="F12" s="176"/>
      <x:c r="G12" s="176"/>
      <x:c r="H12" s="176"/>
      <x:c r="I12" s="176"/>
      <x:c r="J12" s="176"/>
      <x:c r="K12" s="176"/>
      <x:c r="L12" s="176"/>
      <x:c r="M12" s="176"/>
      <x:c r="N12" s="176"/>
      <x:c r="O12" s="176"/>
      <x:c r="P12" s="176"/>
      <x:c r="Q12" s="176"/>
      <x:c r="R12" s="176"/>
      <x:c r="S12" s="176"/>
      <x:c r="T12" s="176"/>
      <x:c r="U12" s="176"/>
      <x:c r="V12" s="176"/>
      <x:c r="W12" s="176"/>
      <x:c r="X12" s="176"/>
    </x:row>
    <x:row r="13">
      <x:c r="A13" s="181" t="str">
        <x:v>Strong / rare base</x:v>
      </x:c>
      <x:c r="B13" s="182" t="str">
        <x:v>Usually 305–330 BST</x:v>
      </x:c>
      <x:c r="C13" s="176"/>
      <x:c r="D13" s="176"/>
      <x:c r="E13" s="176"/>
      <x:c r="F13" s="176"/>
      <x:c r="G13" s="176"/>
      <x:c r="H13" s="176"/>
      <x:c r="I13" s="176"/>
      <x:c r="J13" s="176"/>
      <x:c r="K13" s="176"/>
      <x:c r="L13" s="176"/>
      <x:c r="M13" s="176"/>
      <x:c r="N13" s="176"/>
      <x:c r="O13" s="176"/>
      <x:c r="P13" s="176"/>
      <x:c r="Q13" s="176"/>
      <x:c r="R13" s="176"/>
      <x:c r="S13" s="176"/>
      <x:c r="T13" s="176"/>
      <x:c r="U13" s="176"/>
      <x:c r="V13" s="176"/>
      <x:c r="W13" s="176"/>
      <x:c r="X13" s="176"/>
    </x:row>
    <x:row r="14">
      <x:c r="A14" s="181" t="str">
        <x:v>Middle evolution</x:v>
      </x:c>
      <x:c r="B14" s="182" t="str">
        <x:v>Usually 395–425 BST</x:v>
      </x:c>
      <x:c r="C14" s="176"/>
      <x:c r="D14" s="176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  <x:c r="R14" s="176"/>
      <x:c r="S14" s="176"/>
      <x:c r="T14" s="176"/>
      <x:c r="U14" s="176"/>
      <x:c r="V14" s="176"/>
      <x:c r="W14" s="176"/>
      <x:c r="X14" s="176"/>
    </x:row>
    <x:row r="15">
      <x:c r="A15" s="181" t="str">
        <x:v>Standard final</x:v>
      </x:c>
      <x:c r="B15" s="182" t="str">
        <x:v>Usually 470–515 BST</x:v>
      </x:c>
      <x:c r="C15" s="176"/>
      <x:c r="D15" s="176"/>
      <x:c r="E15" s="176"/>
      <x:c r="F15" s="176"/>
      <x:c r="G15" s="176"/>
      <x:c r="H15" s="176"/>
      <x:c r="I15" s="176"/>
      <x:c r="J15" s="176"/>
      <x:c r="K15" s="176"/>
      <x:c r="L15" s="176"/>
      <x:c r="M15" s="176"/>
      <x:c r="N15" s="176"/>
      <x:c r="O15" s="176"/>
      <x:c r="P15" s="176"/>
      <x:c r="Q15" s="176"/>
      <x:c r="R15" s="176"/>
      <x:c r="S15" s="176"/>
      <x:c r="T15" s="176"/>
      <x:c r="U15" s="176"/>
      <x:c r="V15" s="176"/>
      <x:c r="W15" s="176"/>
      <x:c r="X15" s="176"/>
    </x:row>
    <x:row r="16">
      <x:c r="A16" s="181" t="str">
        <x:v>Strong rare / starter final</x:v>
      </x:c>
      <x:c r="B16" s="182" t="str">
        <x:v>Usually 525–540 BST</x:v>
      </x:c>
      <x:c r="C16" s="176"/>
      <x:c r="D16" s="176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  <x:c r="R16" s="176"/>
      <x:c r="S16" s="176"/>
      <x:c r="T16" s="176"/>
      <x:c r="U16" s="176"/>
      <x:c r="V16" s="176"/>
      <x:c r="W16" s="176"/>
      <x:c r="X16" s="176"/>
    </x:row>
    <x:row r="17">
      <x:c r="A17" s="181" t="str">
        <x:v>Fossil final</x:v>
      </x:c>
      <x:c r="B17" s="182" t="str">
        <x:v>Usually 500–535 BST</x:v>
      </x:c>
      <x:c r="C17" s="176"/>
      <x:c r="D17" s="176"/>
      <x:c r="E17" s="176"/>
      <x:c r="F17" s="176"/>
      <x:c r="G17" s="176"/>
      <x:c r="H17" s="176"/>
      <x:c r="I17" s="176"/>
      <x:c r="J17" s="176"/>
      <x:c r="K17" s="176"/>
      <x:c r="L17" s="176"/>
      <x:c r="M17" s="176"/>
      <x:c r="N17" s="176"/>
      <x:c r="O17" s="176"/>
      <x:c r="P17" s="176"/>
      <x:c r="Q17" s="176"/>
      <x:c r="R17" s="176"/>
      <x:c r="S17" s="176"/>
      <x:c r="T17" s="176"/>
      <x:c r="U17" s="176"/>
      <x:c r="V17" s="176"/>
      <x:c r="W17" s="176"/>
      <x:c r="X17" s="176"/>
    </x:row>
    <x:row r="18">
      <x:c r="A18" s="181" t="str">
        <x:v>Pseudo line</x:v>
      </x:c>
      <x:c r="B18" s="182" t="str">
        <x:v>About 300 / 420 / 600 BST</x:v>
      </x:c>
      <x:c r="C18" s="176"/>
      <x:c r="D18" s="176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  <x:c r="R18" s="176"/>
      <x:c r="S18" s="176"/>
      <x:c r="T18" s="176"/>
      <x:c r="U18" s="176"/>
      <x:c r="V18" s="176"/>
      <x:c r="W18" s="176"/>
      <x:c r="X18" s="176"/>
    </x:row>
    <x:row r="19">
      <x:c r="A19" s="181" t="str">
        <x:v>Watcher legendary trio</x:v>
      </x:c>
      <x:c r="B19" s="182" t="str">
        <x:v>580 BST each</x:v>
      </x:c>
      <x:c r="C19" s="176"/>
      <x:c r="D19" s="176"/>
      <x:c r="E19" s="176"/>
      <x:c r="F19" s="176"/>
      <x:c r="G19" s="176"/>
      <x:c r="H19" s="176"/>
      <x:c r="I19" s="176"/>
      <x:c r="J19" s="176"/>
      <x:c r="K19" s="176"/>
      <x:c r="L19" s="176"/>
      <x:c r="M19" s="176"/>
      <x:c r="N19" s="176"/>
      <x:c r="O19" s="176"/>
      <x:c r="P19" s="176"/>
      <x:c r="Q19" s="176"/>
      <x:c r="R19" s="176"/>
      <x:c r="S19" s="176"/>
      <x:c r="T19" s="176"/>
      <x:c r="U19" s="176"/>
      <x:c r="V19" s="176"/>
      <x:c r="W19" s="176"/>
      <x:c r="X19" s="176"/>
    </x:row>
    <x:row r="20">
      <x:c r="A20" s="183" t="str">
        <x:v>Mythic / pseudo final / box legend</x:v>
      </x:c>
      <x:c r="B20" s="184" t="str">
        <x:v>600 / 600 / 680 BST</x:v>
      </x:c>
      <x:c r="C20" s="176"/>
      <x:c r="D20" s="176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  <x:c r="R20" s="176"/>
      <x:c r="S20" s="176"/>
      <x:c r="T20" s="176"/>
      <x:c r="U20" s="176"/>
      <x:c r="V20" s="176"/>
      <x:c r="W20" s="176"/>
      <x:c r="X20" s="176"/>
    </x:row>
    <x:row r="2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6"/>
      <x:c r="M21" s="176"/>
      <x:c r="N21" s="176"/>
      <x:c r="O21" s="176"/>
      <x:c r="P21" s="176"/>
      <x:c r="Q21" s="176"/>
      <x:c r="R21" s="176"/>
      <x:c r="S21" s="176"/>
      <x:c r="T21" s="176"/>
      <x:c r="U21" s="176"/>
      <x:c r="V21" s="176"/>
      <x:c r="W21" s="176"/>
      <x:c r="X21" s="176"/>
    </x:row>
    <x:row r="22">
      <x:c r="A22" s="177" t="str">
        <x:v>How exact stats were assigned</x:v>
      </x:c>
      <x:c r="B22" s="177"/>
      <x:c r="C22" s="177"/>
      <x:c r="D22" s="177"/>
      <x:c r="E22" s="177"/>
      <x:c r="F22" s="177"/>
      <x:c r="G22" s="177"/>
      <x:c r="H22" s="177"/>
      <x:c r="I22" s="176"/>
      <x:c r="J22" s="176"/>
      <x:c r="K22" s="176"/>
      <x:c r="L22" s="176"/>
      <x:c r="M22" s="176"/>
      <x:c r="N22" s="176"/>
      <x:c r="O22" s="176"/>
      <x:c r="P22" s="176"/>
      <x:c r="Q22" s="176"/>
      <x:c r="R22" s="176"/>
      <x:c r="S22" s="176"/>
      <x:c r="T22" s="176"/>
      <x:c r="U22" s="176"/>
      <x:c r="V22" s="176"/>
      <x:c r="W22" s="176"/>
      <x:c r="X22" s="176"/>
    </x:row>
    <x:row r="23">
      <x:c r="A23" s="185" t="str">
        <x:v>Every species uses the design handoff's relative stat shape (VH / H / M-H / M / M-L / L / VL) as the governing distribution, then allocates the exact target BST across HP, Attack, Defense, Sp. Atk, Sp. Def and Speed. This keeps intentional strengths and weaknesses intact. BST is formula-calculated on the Full Dex sheet and the audit delta must remain 0.</x:v>
      </x:c>
      <x:c r="B23" s="185"/>
      <x:c r="C23" s="185"/>
      <x:c r="D23" s="185"/>
      <x:c r="E23" s="185"/>
      <x:c r="F23" s="185"/>
      <x:c r="G23" s="185"/>
      <x:c r="H23" s="185"/>
      <x:c r="I23" s="176"/>
      <x:c r="J23" s="176"/>
      <x:c r="K23" s="176"/>
      <x:c r="L23" s="176"/>
      <x:c r="M23" s="176"/>
      <x:c r="N23" s="176"/>
      <x:c r="O23" s="176"/>
      <x:c r="P23" s="176"/>
      <x:c r="Q23" s="176"/>
      <x:c r="R23" s="176"/>
      <x:c r="S23" s="176"/>
      <x:c r="T23" s="176"/>
      <x:c r="U23" s="176"/>
      <x:c r="V23" s="176"/>
      <x:c r="W23" s="176"/>
      <x:c r="X23" s="176"/>
    </x:row>
    <x:row r="24">
      <x:c r="A24" s="185"/>
      <x:c r="B24" s="185"/>
      <x:c r="C24" s="185"/>
      <x:c r="D24" s="185"/>
      <x:c r="E24" s="185"/>
      <x:c r="F24" s="185"/>
      <x:c r="G24" s="185"/>
      <x:c r="H24" s="185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  <x:c r="S24" s="176"/>
      <x:c r="T24" s="176"/>
      <x:c r="U24" s="176"/>
      <x:c r="V24" s="176"/>
      <x:c r="W24" s="176"/>
      <x:c r="X24" s="176"/>
    </x:row>
    <x:row r="25">
      <x:c r="A25" s="185"/>
      <x:c r="B25" s="185"/>
      <x:c r="C25" s="185"/>
      <x:c r="D25" s="185"/>
      <x:c r="E25" s="185"/>
      <x:c r="F25" s="185"/>
      <x:c r="G25" s="185"/>
      <x:c r="H25" s="185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  <x:c r="S25" s="176"/>
      <x:c r="T25" s="176"/>
      <x:c r="U25" s="176"/>
      <x:c r="V25" s="176"/>
      <x:c r="W25" s="176"/>
      <x:c r="X25" s="176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76"/>
      <x:c r="J26" s="176"/>
      <x:c r="K26" s="176"/>
      <x:c r="L26" s="176"/>
      <x:c r="M26" s="176"/>
      <x:c r="N26" s="176"/>
      <x:c r="O26" s="176"/>
      <x:c r="P26" s="176"/>
      <x:c r="Q26" s="176"/>
      <x:c r="R26" s="176"/>
      <x:c r="S26" s="176"/>
      <x:c r="T26" s="176"/>
      <x:c r="U26" s="176"/>
      <x:c r="V26" s="176"/>
      <x:c r="W26" s="176"/>
      <x:c r="X26" s="176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76"/>
      <x:c r="J27" s="176"/>
      <x:c r="K27" s="176"/>
      <x:c r="L27" s="176"/>
      <x:c r="M27" s="176"/>
      <x:c r="N27" s="176"/>
      <x:c r="O27" s="176"/>
      <x:c r="P27" s="176"/>
      <x:c r="Q27" s="176"/>
      <x:c r="R27" s="176"/>
      <x:c r="S27" s="176"/>
      <x:c r="T27" s="176"/>
      <x:c r="U27" s="176"/>
      <x:c r="V27" s="176"/>
      <x:c r="W27" s="176"/>
      <x:c r="X27" s="176"/>
    </x:row>
    <x:row r="28">
      <x:c r="A28" s="176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  <x:c r="R28" s="176"/>
      <x:c r="S28" s="176"/>
      <x:c r="T28" s="176"/>
      <x:c r="U28" s="176"/>
      <x:c r="V28" s="176"/>
      <x:c r="W28" s="176"/>
      <x:c r="X28" s="176"/>
    </x:row>
    <x:row r="29">
      <x:c r="A29" s="177" t="str">
        <x:v>Ability philosophy</x:v>
      </x:c>
      <x:c r="B29" s="177"/>
      <x:c r="C29" s="177"/>
      <x:c r="D29" s="177"/>
      <x:c r="E29" s="177"/>
      <x:c r="F29" s="177"/>
      <x:c r="G29" s="177"/>
      <x:c r="H29" s="177"/>
      <x:c r="I29" s="176"/>
      <x:c r="J29" s="176"/>
      <x:c r="K29" s="176"/>
      <x:c r="L29" s="176"/>
      <x:c r="M29" s="176"/>
      <x:c r="N29" s="176"/>
      <x:c r="O29" s="176"/>
      <x:c r="P29" s="176"/>
      <x:c r="Q29" s="176"/>
      <x:c r="R29" s="176"/>
      <x:c r="S29" s="176"/>
      <x:c r="T29" s="176"/>
      <x:c r="U29" s="176"/>
      <x:c r="V29" s="176"/>
      <x:c r="W29" s="176"/>
      <x:c r="X29" s="176"/>
    </x:row>
    <x:row r="30">
      <x:c r="A30" s="185" t="str">
        <x:v>The roster uses 87 abilities across 187 monsters. Most are reusable, simple Gen-III-readable effects. Signature abilities are reserved for defining starter lines, rare identities, fossils, pseudos, Watchers, box legends and mythics. Hidden abilities are more specialised but do not automatically erase a monster's intended weaknesses.</x:v>
      </x:c>
      <x:c r="B30" s="185"/>
      <x:c r="C30" s="185"/>
      <x:c r="D30" s="185"/>
      <x:c r="E30" s="185"/>
      <x:c r="F30" s="185"/>
      <x:c r="G30" s="185"/>
      <x:c r="H30" s="185"/>
      <x:c r="I30" s="176"/>
      <x:c r="J30" s="176"/>
      <x:c r="K30" s="176"/>
      <x:c r="L30" s="176"/>
      <x:c r="M30" s="176"/>
      <x:c r="N30" s="176"/>
      <x:c r="O30" s="176"/>
      <x:c r="P30" s="176"/>
      <x:c r="Q30" s="176"/>
      <x:c r="R30" s="176"/>
      <x:c r="S30" s="176"/>
      <x:c r="T30" s="176"/>
      <x:c r="U30" s="176"/>
      <x:c r="V30" s="176"/>
      <x:c r="W30" s="176"/>
      <x:c r="X30" s="176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76"/>
      <x:c r="J31" s="176"/>
      <x:c r="K31" s="176"/>
      <x:c r="L31" s="176"/>
      <x:c r="M31" s="176"/>
      <x:c r="N31" s="176"/>
      <x:c r="O31" s="176"/>
      <x:c r="P31" s="176"/>
      <x:c r="Q31" s="176"/>
      <x:c r="R31" s="176"/>
      <x:c r="S31" s="176"/>
      <x:c r="T31" s="176"/>
      <x:c r="U31" s="176"/>
      <x:c r="V31" s="176"/>
      <x:c r="W31" s="176"/>
      <x:c r="X31" s="176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76"/>
      <x:c r="J32" s="176"/>
      <x:c r="K32" s="176"/>
      <x:c r="L32" s="176"/>
      <x:c r="M32" s="176"/>
      <x:c r="N32" s="176"/>
      <x:c r="O32" s="176"/>
      <x:c r="P32" s="176"/>
      <x:c r="Q32" s="176"/>
      <x:c r="R32" s="176"/>
      <x:c r="S32" s="176"/>
      <x:c r="T32" s="176"/>
      <x:c r="U32" s="176"/>
      <x:c r="V32" s="176"/>
      <x:c r="W32" s="176"/>
      <x:c r="X32" s="176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76"/>
      <x:c r="J33" s="176"/>
      <x:c r="K33" s="176"/>
      <x:c r="L33" s="176"/>
      <x:c r="M33" s="176"/>
      <x:c r="N33" s="176"/>
      <x:c r="O33" s="176"/>
      <x:c r="P33" s="176"/>
      <x:c r="Q33" s="176"/>
      <x:c r="R33" s="176"/>
      <x:c r="S33" s="176"/>
      <x:c r="T33" s="176"/>
      <x:c r="U33" s="176"/>
      <x:c r="V33" s="176"/>
      <x:c r="W33" s="176"/>
      <x:c r="X33" s="176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76"/>
      <x:c r="J34" s="176"/>
      <x:c r="K34" s="176"/>
      <x:c r="L34" s="176"/>
      <x:c r="M34" s="176"/>
      <x:c r="N34" s="176"/>
      <x:c r="O34" s="176"/>
      <x:c r="P34" s="176"/>
      <x:c r="Q34" s="176"/>
      <x:c r="R34" s="176"/>
      <x:c r="S34" s="176"/>
      <x:c r="T34" s="176"/>
      <x:c r="U34" s="176"/>
      <x:c r="V34" s="176"/>
      <x:c r="W34" s="176"/>
      <x:c r="X34" s="176"/>
    </x:row>
    <x:row r="35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6"/>
      <x:c r="K35" s="176"/>
      <x:c r="L35" s="176"/>
      <x:c r="M35" s="176"/>
      <x:c r="N35" s="176"/>
      <x:c r="O35" s="176"/>
      <x:c r="P35" s="176"/>
      <x:c r="Q35" s="176"/>
      <x:c r="R35" s="176"/>
      <x:c r="S35" s="176"/>
      <x:c r="T35" s="176"/>
      <x:c r="U35" s="176"/>
      <x:c r="V35" s="176"/>
      <x:c r="W35" s="176"/>
      <x:c r="X35" s="176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6"/>
      <x:c r="M36" s="176"/>
      <x:c r="N36" s="176"/>
      <x:c r="O36" s="176"/>
      <x:c r="P36" s="176"/>
      <x:c r="Q36" s="176"/>
      <x:c r="R36" s="176"/>
      <x:c r="S36" s="176"/>
      <x:c r="T36" s="176"/>
      <x:c r="U36" s="176"/>
      <x:c r="V36" s="176"/>
      <x:c r="W36" s="176"/>
      <x:c r="X36" s="176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6"/>
      <x:c r="M37" s="176"/>
      <x:c r="N37" s="176"/>
      <x:c r="O37" s="176"/>
      <x:c r="P37" s="176"/>
      <x:c r="Q37" s="176"/>
      <x:c r="R37" s="176"/>
      <x:c r="S37" s="176"/>
      <x:c r="T37" s="176"/>
      <x:c r="U37" s="176"/>
      <x:c r="V37" s="176"/>
      <x:c r="W37" s="176"/>
      <x:c r="X37" s="176"/>
    </x:row>
    <x:row r="38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6"/>
      <x:c r="M38" s="176"/>
      <x:c r="N38" s="176"/>
      <x:c r="O38" s="176"/>
      <x:c r="P38" s="176"/>
      <x:c r="Q38" s="176"/>
      <x:c r="R38" s="176"/>
      <x:c r="S38" s="176"/>
      <x:c r="T38" s="176"/>
      <x:c r="U38" s="176"/>
      <x:c r="V38" s="176"/>
      <x:c r="W38" s="176"/>
      <x:c r="X38" s="176"/>
    </x:row>
    <x:row r="39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6"/>
      <x:c r="K39" s="176"/>
      <x:c r="L39" s="176"/>
      <x:c r="M39" s="176"/>
      <x:c r="N39" s="176"/>
      <x:c r="O39" s="176"/>
      <x:c r="P39" s="176"/>
      <x:c r="Q39" s="176"/>
      <x:c r="R39" s="176"/>
      <x:c r="S39" s="176"/>
      <x:c r="T39" s="176"/>
      <x:c r="U39" s="176"/>
      <x:c r="V39" s="176"/>
      <x:c r="W39" s="176"/>
      <x:c r="X39" s="176"/>
    </x:row>
    <x:row r="40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6"/>
      <x:c r="M40" s="176"/>
      <x:c r="N40" s="176"/>
      <x:c r="O40" s="176"/>
      <x:c r="P40" s="176"/>
      <x:c r="Q40" s="176"/>
      <x:c r="R40" s="176"/>
      <x:c r="S40" s="176"/>
      <x:c r="T40" s="176"/>
      <x:c r="U40" s="176"/>
      <x:c r="V40" s="176"/>
      <x:c r="W40" s="176"/>
      <x:c r="X40" s="176"/>
    </x:row>
    <x:row r="41">
      <x:c r="A41" s="176"/>
      <x:c r="B41" s="176"/>
      <x:c r="C41" s="176"/>
      <x:c r="D41" s="176"/>
      <x:c r="E41" s="176"/>
      <x:c r="F41" s="176"/>
      <x:c r="G41" s="176"/>
      <x:c r="H41" s="176"/>
      <x:c r="I41" s="176"/>
      <x:c r="J41" s="176"/>
      <x:c r="K41" s="176"/>
      <x:c r="L41" s="176"/>
      <x:c r="M41" s="176"/>
      <x:c r="N41" s="176"/>
      <x:c r="O41" s="176"/>
      <x:c r="P41" s="176"/>
      <x:c r="Q41" s="176"/>
      <x:c r="R41" s="176"/>
      <x:c r="S41" s="176"/>
      <x:c r="T41" s="176"/>
      <x:c r="U41" s="176"/>
      <x:c r="V41" s="176"/>
      <x:c r="W41" s="176"/>
      <x:c r="X41" s="176"/>
    </x:row>
    <x:row r="42">
      <x:c r="A42" s="176"/>
      <x:c r="B42" s="176"/>
      <x:c r="C42" s="176"/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6"/>
      <x:c r="N42" s="176"/>
      <x:c r="O42" s="176"/>
      <x:c r="P42" s="176"/>
      <x:c r="Q42" s="176"/>
      <x:c r="R42" s="176"/>
      <x:c r="S42" s="176"/>
      <x:c r="T42" s="176"/>
      <x:c r="U42" s="176"/>
      <x:c r="V42" s="176"/>
      <x:c r="W42" s="176"/>
      <x:c r="X42" s="176"/>
    </x:row>
    <x:row r="43">
      <x:c r="A43" s="176"/>
      <x:c r="B43" s="176"/>
      <x:c r="C43" s="176"/>
      <x:c r="D43" s="176"/>
      <x:c r="E43" s="176"/>
      <x:c r="F43" s="176"/>
      <x:c r="G43" s="176"/>
      <x:c r="H43" s="176"/>
      <x:c r="I43" s="176"/>
      <x:c r="J43" s="176"/>
      <x:c r="K43" s="176"/>
      <x:c r="L43" s="176"/>
      <x:c r="M43" s="176"/>
      <x:c r="N43" s="176"/>
      <x:c r="O43" s="176"/>
      <x:c r="P43" s="176"/>
      <x:c r="Q43" s="176"/>
      <x:c r="R43" s="176"/>
      <x:c r="S43" s="176"/>
      <x:c r="T43" s="176"/>
      <x:c r="U43" s="176"/>
      <x:c r="V43" s="176"/>
      <x:c r="W43" s="176"/>
      <x:c r="X43" s="176"/>
    </x:row>
    <x:row r="44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6"/>
      <x:c r="M44" s="176"/>
      <x:c r="N44" s="176"/>
      <x:c r="O44" s="176"/>
      <x:c r="P44" s="176"/>
      <x:c r="Q44" s="176"/>
      <x:c r="R44" s="176"/>
      <x:c r="S44" s="176"/>
      <x:c r="T44" s="176"/>
      <x:c r="U44" s="176"/>
      <x:c r="V44" s="176"/>
      <x:c r="W44" s="176"/>
      <x:c r="X44" s="176"/>
    </x:row>
    <x:row r="45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6"/>
      <x:c r="N45" s="176"/>
      <x:c r="O45" s="176"/>
      <x:c r="P45" s="176"/>
      <x:c r="Q45" s="176"/>
      <x:c r="R45" s="176"/>
      <x:c r="S45" s="176"/>
      <x:c r="T45" s="176"/>
      <x:c r="U45" s="176"/>
      <x:c r="V45" s="176"/>
      <x:c r="W45" s="176"/>
      <x:c r="X45" s="176"/>
    </x:row>
    <x:row r="46">
      <x:c r="A46" s="176"/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6"/>
      <x:c r="N46" s="176"/>
      <x:c r="O46" s="176"/>
      <x:c r="P46" s="176"/>
      <x:c r="Q46" s="176"/>
      <x:c r="R46" s="176"/>
      <x:c r="S46" s="176"/>
      <x:c r="T46" s="176"/>
      <x:c r="U46" s="176"/>
      <x:c r="V46" s="176"/>
      <x:c r="W46" s="176"/>
      <x:c r="X46" s="176"/>
    </x:row>
    <x:row r="47">
      <x:c r="A47" s="176"/>
      <x:c r="B47" s="176"/>
      <x:c r="C47" s="176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6"/>
      <x:c r="N47" s="176"/>
      <x:c r="O47" s="176"/>
      <x:c r="P47" s="176"/>
      <x:c r="Q47" s="176"/>
      <x:c r="R47" s="176"/>
      <x:c r="S47" s="176"/>
      <x:c r="T47" s="176"/>
      <x:c r="U47" s="176"/>
      <x:c r="V47" s="176"/>
      <x:c r="W47" s="176"/>
      <x:c r="X47" s="176"/>
    </x:row>
    <x:row r="48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6"/>
      <x:c r="N48" s="176"/>
      <x:c r="O48" s="176"/>
      <x:c r="P48" s="176"/>
      <x:c r="Q48" s="176"/>
      <x:c r="R48" s="176"/>
      <x:c r="S48" s="176"/>
      <x:c r="T48" s="176"/>
      <x:c r="U48" s="176"/>
      <x:c r="V48" s="176"/>
      <x:c r="W48" s="176"/>
      <x:c r="X48" s="176"/>
    </x:row>
    <x:row r="49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6"/>
      <x:c r="N49" s="176"/>
      <x:c r="O49" s="176"/>
      <x:c r="P49" s="176"/>
      <x:c r="Q49" s="176"/>
      <x:c r="R49" s="176"/>
      <x:c r="S49" s="176"/>
      <x:c r="T49" s="176"/>
      <x:c r="U49" s="176"/>
      <x:c r="V49" s="176"/>
      <x:c r="W49" s="176"/>
      <x:c r="X49" s="176"/>
    </x:row>
    <x:row r="50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6"/>
      <x:c r="N50" s="176"/>
      <x:c r="O50" s="176"/>
      <x:c r="P50" s="176"/>
      <x:c r="Q50" s="176"/>
      <x:c r="R50" s="176"/>
      <x:c r="S50" s="176"/>
      <x:c r="T50" s="176"/>
      <x:c r="U50" s="176"/>
      <x:c r="V50" s="176"/>
      <x:c r="W50" s="176"/>
      <x:c r="X50" s="176"/>
    </x:row>
    <x:row r="5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6"/>
      <x:c r="M51" s="176"/>
      <x:c r="N51" s="176"/>
      <x:c r="O51" s="176"/>
      <x:c r="P51" s="176"/>
      <x:c r="Q51" s="176"/>
      <x:c r="R51" s="176"/>
      <x:c r="S51" s="176"/>
      <x:c r="T51" s="176"/>
      <x:c r="U51" s="176"/>
      <x:c r="V51" s="176"/>
      <x:c r="W51" s="176"/>
      <x:c r="X51" s="176"/>
    </x:row>
    <x:row r="52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6"/>
      <x:c r="N52" s="176"/>
      <x:c r="O52" s="176"/>
      <x:c r="P52" s="176"/>
      <x:c r="Q52" s="176"/>
      <x:c r="R52" s="176"/>
      <x:c r="S52" s="176"/>
      <x:c r="T52" s="176"/>
      <x:c r="U52" s="176"/>
      <x:c r="V52" s="176"/>
      <x:c r="W52" s="176"/>
      <x:c r="X52" s="176"/>
    </x:row>
    <x:row r="53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6"/>
      <x:c r="N53" s="176"/>
      <x:c r="O53" s="176"/>
      <x:c r="P53" s="176"/>
      <x:c r="Q53" s="176"/>
      <x:c r="R53" s="176"/>
      <x:c r="S53" s="176"/>
      <x:c r="T53" s="176"/>
      <x:c r="U53" s="176"/>
      <x:c r="V53" s="176"/>
      <x:c r="W53" s="176"/>
      <x:c r="X53" s="176"/>
    </x:row>
    <x:row r="54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6"/>
      <x:c r="N54" s="176"/>
      <x:c r="O54" s="176"/>
      <x:c r="P54" s="176"/>
      <x:c r="Q54" s="176"/>
      <x:c r="R54" s="176"/>
      <x:c r="S54" s="176"/>
      <x:c r="T54" s="176"/>
      <x:c r="U54" s="176"/>
      <x:c r="V54" s="176"/>
      <x:c r="W54" s="176"/>
      <x:c r="X54" s="176"/>
    </x:row>
    <x:row r="55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  <x:c r="S55" s="176"/>
      <x:c r="T55" s="176"/>
      <x:c r="U55" s="176"/>
      <x:c r="V55" s="176"/>
      <x:c r="W55" s="176"/>
      <x:c r="X55" s="176"/>
    </x:row>
    <x:row r="56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  <x:c r="S56" s="176"/>
      <x:c r="T56" s="176"/>
      <x:c r="U56" s="176"/>
      <x:c r="V56" s="176"/>
      <x:c r="W56" s="176"/>
      <x:c r="X56" s="176"/>
    </x:row>
    <x:row r="57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  <x:c r="S57" s="176"/>
      <x:c r="T57" s="176"/>
      <x:c r="U57" s="176"/>
      <x:c r="V57" s="176"/>
      <x:c r="W57" s="176"/>
      <x:c r="X57" s="176"/>
    </x:row>
    <x:row r="58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  <x:c r="S58" s="176"/>
      <x:c r="T58" s="176"/>
      <x:c r="U58" s="176"/>
      <x:c r="V58" s="176"/>
      <x:c r="W58" s="176"/>
      <x:c r="X58" s="176"/>
    </x:row>
    <x:row r="59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  <x:c r="S59" s="176"/>
      <x:c r="T59" s="176"/>
      <x:c r="U59" s="176"/>
      <x:c r="V59" s="176"/>
      <x:c r="W59" s="176"/>
      <x:c r="X59" s="176"/>
    </x:row>
    <x:row r="60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  <x:c r="S60" s="176"/>
      <x:c r="T60" s="176"/>
      <x:c r="U60" s="176"/>
      <x:c r="V60" s="176"/>
      <x:c r="W60" s="176"/>
      <x:c r="X60" s="176"/>
    </x:row>
    <x:row r="6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  <x:c r="S61" s="176"/>
      <x:c r="T61" s="176"/>
      <x:c r="U61" s="176"/>
      <x:c r="V61" s="176"/>
      <x:c r="W61" s="176"/>
      <x:c r="X61" s="176"/>
    </x:row>
    <x:row r="62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  <x:c r="S62" s="176"/>
      <x:c r="T62" s="176"/>
      <x:c r="U62" s="176"/>
      <x:c r="V62" s="176"/>
      <x:c r="W62" s="176"/>
      <x:c r="X62" s="176"/>
    </x:row>
    <x:row r="63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  <x:c r="S63" s="176"/>
      <x:c r="T63" s="176"/>
      <x:c r="U63" s="176"/>
      <x:c r="V63" s="176"/>
      <x:c r="W63" s="176"/>
      <x:c r="X63" s="176"/>
    </x:row>
    <x:row r="64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  <x:c r="S64" s="176"/>
      <x:c r="T64" s="176"/>
      <x:c r="U64" s="176"/>
      <x:c r="V64" s="176"/>
      <x:c r="W64" s="176"/>
      <x:c r="X64" s="176"/>
    </x:row>
    <x:row r="6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  <x:c r="S65" s="176"/>
      <x:c r="T65" s="176"/>
      <x:c r="U65" s="176"/>
      <x:c r="V65" s="176"/>
      <x:c r="W65" s="176"/>
      <x:c r="X65" s="176"/>
    </x:row>
    <x:row r="66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  <x:c r="S66" s="176"/>
      <x:c r="T66" s="176"/>
      <x:c r="U66" s="176"/>
      <x:c r="V66" s="176"/>
      <x:c r="W66" s="176"/>
      <x:c r="X66" s="176"/>
    </x:row>
    <x:row r="67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  <x:c r="S67" s="176"/>
      <x:c r="T67" s="176"/>
      <x:c r="U67" s="176"/>
      <x:c r="V67" s="176"/>
      <x:c r="W67" s="176"/>
      <x:c r="X67" s="176"/>
    </x:row>
    <x:row r="68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  <x:c r="S68" s="176"/>
      <x:c r="T68" s="176"/>
      <x:c r="U68" s="176"/>
      <x:c r="V68" s="176"/>
      <x:c r="W68" s="176"/>
      <x:c r="X68" s="176"/>
    </x:row>
    <x:row r="69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  <x:c r="S69" s="176"/>
      <x:c r="T69" s="176"/>
      <x:c r="U69" s="176"/>
      <x:c r="V69" s="176"/>
      <x:c r="W69" s="176"/>
      <x:c r="X69" s="176"/>
    </x:row>
    <x:row r="70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  <x:c r="S70" s="176"/>
      <x:c r="T70" s="176"/>
      <x:c r="U70" s="176"/>
      <x:c r="V70" s="176"/>
      <x:c r="W70" s="176"/>
      <x:c r="X70" s="176"/>
    </x:row>
    <x:row r="7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  <x:c r="S71" s="176"/>
      <x:c r="T71" s="176"/>
      <x:c r="U71" s="176"/>
      <x:c r="V71" s="176"/>
      <x:c r="W71" s="176"/>
      <x:c r="X71" s="176"/>
    </x:row>
    <x:row r="72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  <x:c r="S72" s="176"/>
      <x:c r="T72" s="176"/>
      <x:c r="U72" s="176"/>
      <x:c r="V72" s="176"/>
      <x:c r="W72" s="176"/>
      <x:c r="X72" s="176"/>
    </x:row>
    <x:row r="73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  <x:c r="S73" s="176"/>
      <x:c r="T73" s="176"/>
      <x:c r="U73" s="176"/>
      <x:c r="V73" s="176"/>
      <x:c r="W73" s="176"/>
      <x:c r="X73" s="176"/>
    </x:row>
    <x:row r="74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  <x:c r="S74" s="176"/>
      <x:c r="T74" s="176"/>
      <x:c r="U74" s="176"/>
      <x:c r="V74" s="176"/>
      <x:c r="W74" s="176"/>
      <x:c r="X74" s="176"/>
    </x:row>
    <x:row r="7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  <x:c r="S75" s="176"/>
      <x:c r="T75" s="176"/>
      <x:c r="U75" s="176"/>
      <x:c r="V75" s="176"/>
      <x:c r="W75" s="176"/>
      <x:c r="X75" s="176"/>
    </x:row>
    <x:row r="76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  <x:c r="S76" s="176"/>
      <x:c r="T76" s="176"/>
      <x:c r="U76" s="176"/>
      <x:c r="V76" s="176"/>
      <x:c r="W76" s="176"/>
      <x:c r="X76" s="176"/>
    </x:row>
    <x:row r="77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  <x:c r="S77" s="176"/>
      <x:c r="T77" s="176"/>
      <x:c r="U77" s="176"/>
      <x:c r="V77" s="176"/>
      <x:c r="W77" s="176"/>
      <x:c r="X77" s="176"/>
    </x:row>
    <x:row r="78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  <x:c r="S78" s="176"/>
      <x:c r="T78" s="176"/>
      <x:c r="U78" s="176"/>
      <x:c r="V78" s="176"/>
      <x:c r="W78" s="176"/>
      <x:c r="X78" s="176"/>
    </x:row>
    <x:row r="79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  <x:c r="S79" s="176"/>
      <x:c r="T79" s="176"/>
      <x:c r="U79" s="176"/>
      <x:c r="V79" s="176"/>
      <x:c r="W79" s="176"/>
      <x:c r="X79" s="176"/>
    </x:row>
    <x:row r="80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  <x:c r="S80" s="176"/>
      <x:c r="T80" s="176"/>
      <x:c r="U80" s="176"/>
      <x:c r="V80" s="176"/>
      <x:c r="W80" s="176"/>
      <x:c r="X80" s="176"/>
    </x:row>
    <x:row r="8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  <x:c r="S81" s="176"/>
      <x:c r="T81" s="176"/>
      <x:c r="U81" s="176"/>
      <x:c r="V81" s="176"/>
      <x:c r="W81" s="176"/>
      <x:c r="X81" s="176"/>
    </x:row>
    <x:row r="82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  <x:c r="S82" s="176"/>
      <x:c r="T82" s="176"/>
      <x:c r="U82" s="176"/>
      <x:c r="V82" s="176"/>
      <x:c r="W82" s="176"/>
      <x:c r="X82" s="176"/>
    </x:row>
    <x:row r="83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  <x:c r="S83" s="176"/>
      <x:c r="T83" s="176"/>
      <x:c r="U83" s="176"/>
      <x:c r="V83" s="176"/>
      <x:c r="W83" s="176"/>
      <x:c r="X83" s="176"/>
    </x:row>
    <x:row r="84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  <x:c r="S84" s="176"/>
      <x:c r="T84" s="176"/>
      <x:c r="U84" s="176"/>
      <x:c r="V84" s="176"/>
      <x:c r="W84" s="176"/>
      <x:c r="X84" s="176"/>
    </x:row>
    <x:row r="8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  <x:c r="S85" s="176"/>
      <x:c r="T85" s="176"/>
      <x:c r="U85" s="176"/>
      <x:c r="V85" s="176"/>
      <x:c r="W85" s="176"/>
      <x:c r="X85" s="176"/>
    </x:row>
    <x:row r="86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  <x:c r="S86" s="176"/>
      <x:c r="T86" s="176"/>
      <x:c r="U86" s="176"/>
      <x:c r="V86" s="176"/>
      <x:c r="W86" s="176"/>
      <x:c r="X86" s="176"/>
    </x:row>
    <x:row r="87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  <x:c r="S87" s="176"/>
      <x:c r="T87" s="176"/>
      <x:c r="U87" s="176"/>
      <x:c r="V87" s="176"/>
      <x:c r="W87" s="176"/>
      <x:c r="X87" s="176"/>
    </x:row>
    <x:row r="88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  <x:c r="S88" s="176"/>
      <x:c r="T88" s="176"/>
      <x:c r="U88" s="176"/>
      <x:c r="V88" s="176"/>
      <x:c r="W88" s="176"/>
      <x:c r="X88" s="176"/>
    </x:row>
    <x:row r="89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  <x:c r="S89" s="176"/>
      <x:c r="T89" s="176"/>
      <x:c r="U89" s="176"/>
      <x:c r="V89" s="176"/>
      <x:c r="W89" s="176"/>
      <x:c r="X89" s="176"/>
    </x:row>
    <x:row r="90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  <x:c r="S90" s="176"/>
      <x:c r="T90" s="176"/>
      <x:c r="U90" s="176"/>
      <x:c r="V90" s="176"/>
      <x:c r="W90" s="176"/>
      <x:c r="X90" s="176"/>
    </x:row>
    <x:row r="9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  <x:c r="S91" s="176"/>
      <x:c r="T91" s="176"/>
      <x:c r="U91" s="176"/>
      <x:c r="V91" s="176"/>
      <x:c r="W91" s="176"/>
      <x:c r="X91" s="176"/>
    </x:row>
    <x:row r="92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  <x:c r="S92" s="176"/>
      <x:c r="T92" s="176"/>
      <x:c r="U92" s="176"/>
      <x:c r="V92" s="176"/>
      <x:c r="W92" s="176"/>
      <x:c r="X92" s="176"/>
    </x:row>
    <x:row r="93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  <x:c r="S93" s="176"/>
      <x:c r="T93" s="176"/>
      <x:c r="U93" s="176"/>
      <x:c r="V93" s="176"/>
      <x:c r="W93" s="176"/>
      <x:c r="X93" s="176"/>
    </x:row>
    <x:row r="94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  <x:c r="S94" s="176"/>
      <x:c r="T94" s="176"/>
      <x:c r="U94" s="176"/>
      <x:c r="V94" s="176"/>
      <x:c r="W94" s="176"/>
      <x:c r="X94" s="176"/>
    </x:row>
    <x:row r="9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  <x:c r="S95" s="176"/>
      <x:c r="T95" s="176"/>
      <x:c r="U95" s="176"/>
      <x:c r="V95" s="176"/>
      <x:c r="W95" s="176"/>
      <x:c r="X95" s="176"/>
    </x:row>
    <x:row r="96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  <x:c r="S96" s="176"/>
      <x:c r="T96" s="176"/>
      <x:c r="U96" s="176"/>
      <x:c r="V96" s="176"/>
      <x:c r="W96" s="176"/>
      <x:c r="X96" s="176"/>
    </x:row>
    <x:row r="97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  <x:c r="S97" s="176"/>
      <x:c r="T97" s="176"/>
      <x:c r="U97" s="176"/>
      <x:c r="V97" s="176"/>
      <x:c r="W97" s="176"/>
      <x:c r="X97" s="176"/>
    </x:row>
    <x:row r="98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  <x:c r="S98" s="176"/>
      <x:c r="T98" s="176"/>
      <x:c r="U98" s="176"/>
      <x:c r="V98" s="176"/>
      <x:c r="W98" s="176"/>
      <x:c r="X98" s="176"/>
    </x:row>
    <x:row r="99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  <x:c r="S99" s="176"/>
      <x:c r="T99" s="176"/>
      <x:c r="U99" s="176"/>
      <x:c r="V99" s="176"/>
      <x:c r="W99" s="176"/>
      <x:c r="X99" s="176"/>
    </x:row>
    <x:row r="100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  <x:c r="S100" s="176"/>
      <x:c r="T100" s="176"/>
      <x:c r="U100" s="176"/>
      <x:c r="V100" s="176"/>
      <x:c r="W100" s="176"/>
      <x:c r="X100" s="176"/>
    </x:row>
    <x:row r="10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  <x:c r="S101" s="176"/>
      <x:c r="T101" s="176"/>
      <x:c r="U101" s="176"/>
      <x:c r="V101" s="176"/>
      <x:c r="W101" s="176"/>
      <x:c r="X101" s="176"/>
    </x:row>
    <x:row r="102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  <x:c r="S102" s="176"/>
      <x:c r="T102" s="176"/>
      <x:c r="U102" s="176"/>
      <x:c r="V102" s="176"/>
      <x:c r="W102" s="176"/>
      <x:c r="X102" s="176"/>
    </x:row>
    <x:row r="103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  <x:c r="S103" s="176"/>
      <x:c r="T103" s="176"/>
      <x:c r="U103" s="176"/>
      <x:c r="V103" s="176"/>
      <x:c r="W103" s="176"/>
      <x:c r="X103" s="176"/>
    </x:row>
    <x:row r="104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  <x:c r="S104" s="176"/>
      <x:c r="T104" s="176"/>
      <x:c r="U104" s="176"/>
      <x:c r="V104" s="176"/>
      <x:c r="W104" s="176"/>
      <x:c r="X104" s="176"/>
    </x:row>
    <x:row r="10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  <x:c r="S105" s="176"/>
      <x:c r="T105" s="176"/>
      <x:c r="U105" s="176"/>
      <x:c r="V105" s="176"/>
      <x:c r="W105" s="176"/>
      <x:c r="X105" s="176"/>
    </x:row>
    <x:row r="106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  <x:c r="S106" s="176"/>
      <x:c r="T106" s="176"/>
      <x:c r="U106" s="176"/>
      <x:c r="V106" s="176"/>
      <x:c r="W106" s="176"/>
      <x:c r="X106" s="176"/>
    </x:row>
    <x:row r="107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  <x:c r="S107" s="176"/>
      <x:c r="T107" s="176"/>
      <x:c r="U107" s="176"/>
      <x:c r="V107" s="176"/>
      <x:c r="W107" s="176"/>
      <x:c r="X107" s="176"/>
    </x:row>
    <x:row r="108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  <x:c r="S108" s="176"/>
      <x:c r="T108" s="176"/>
      <x:c r="U108" s="176"/>
      <x:c r="V108" s="176"/>
      <x:c r="W108" s="176"/>
      <x:c r="X108" s="176"/>
    </x:row>
    <x:row r="109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  <x:c r="S109" s="176"/>
      <x:c r="T109" s="176"/>
      <x:c r="U109" s="176"/>
      <x:c r="V109" s="176"/>
      <x:c r="W109" s="176"/>
      <x:c r="X109" s="176"/>
    </x:row>
    <x:row r="110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  <x:c r="S110" s="176"/>
      <x:c r="T110" s="176"/>
      <x:c r="U110" s="176"/>
      <x:c r="V110" s="176"/>
      <x:c r="W110" s="176"/>
      <x:c r="X110" s="176"/>
    </x:row>
    <x:row r="11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  <x:c r="S111" s="176"/>
      <x:c r="T111" s="176"/>
      <x:c r="U111" s="176"/>
      <x:c r="V111" s="176"/>
      <x:c r="W111" s="176"/>
      <x:c r="X111" s="176"/>
    </x:row>
    <x:row r="112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  <x:c r="S112" s="176"/>
      <x:c r="T112" s="176"/>
      <x:c r="U112" s="176"/>
      <x:c r="V112" s="176"/>
      <x:c r="W112" s="176"/>
      <x:c r="X112" s="176"/>
    </x:row>
    <x:row r="113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  <x:c r="S113" s="176"/>
      <x:c r="T113" s="176"/>
      <x:c r="U113" s="176"/>
      <x:c r="V113" s="176"/>
      <x:c r="W113" s="176"/>
      <x:c r="X113" s="176"/>
    </x:row>
    <x:row r="114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  <x:c r="S114" s="176"/>
      <x:c r="T114" s="176"/>
      <x:c r="U114" s="176"/>
      <x:c r="V114" s="176"/>
      <x:c r="W114" s="176"/>
      <x:c r="X114" s="176"/>
    </x:row>
    <x:row r="11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  <x:c r="S115" s="176"/>
      <x:c r="T115" s="176"/>
      <x:c r="U115" s="176"/>
      <x:c r="V115" s="176"/>
      <x:c r="W115" s="176"/>
      <x:c r="X115" s="176"/>
    </x:row>
    <x:row r="116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  <x:c r="S116" s="176"/>
      <x:c r="T116" s="176"/>
      <x:c r="U116" s="176"/>
      <x:c r="V116" s="176"/>
      <x:c r="W116" s="176"/>
      <x:c r="X116" s="176"/>
    </x:row>
    <x:row r="117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  <x:c r="S117" s="176"/>
      <x:c r="T117" s="176"/>
      <x:c r="U117" s="176"/>
      <x:c r="V117" s="176"/>
      <x:c r="W117" s="176"/>
      <x:c r="X117" s="176"/>
    </x:row>
    <x:row r="118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  <x:c r="S118" s="176"/>
      <x:c r="T118" s="176"/>
      <x:c r="U118" s="176"/>
      <x:c r="V118" s="176"/>
      <x:c r="W118" s="176"/>
      <x:c r="X118" s="176"/>
    </x:row>
    <x:row r="119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  <x:c r="S119" s="176"/>
      <x:c r="T119" s="176"/>
      <x:c r="U119" s="176"/>
      <x:c r="V119" s="176"/>
      <x:c r="W119" s="176"/>
      <x:c r="X119" s="176"/>
    </x:row>
    <x:row r="120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  <x:c r="S120" s="176"/>
      <x:c r="T120" s="176"/>
      <x:c r="U120" s="176"/>
      <x:c r="V120" s="176"/>
      <x:c r="W120" s="176"/>
      <x:c r="X120" s="176"/>
    </x:row>
    <x:row r="12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  <x:c r="S121" s="176"/>
      <x:c r="T121" s="176"/>
      <x:c r="U121" s="176"/>
      <x:c r="V121" s="176"/>
      <x:c r="W121" s="176"/>
      <x:c r="X121" s="176"/>
    </x:row>
    <x:row r="122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  <x:c r="S122" s="176"/>
      <x:c r="T122" s="176"/>
      <x:c r="U122" s="176"/>
      <x:c r="V122" s="176"/>
      <x:c r="W122" s="176"/>
      <x:c r="X122" s="176"/>
    </x:row>
    <x:row r="123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  <x:c r="S123" s="176"/>
      <x:c r="T123" s="176"/>
      <x:c r="U123" s="176"/>
      <x:c r="V123" s="176"/>
      <x:c r="W123" s="176"/>
      <x:c r="X123" s="176"/>
    </x:row>
    <x:row r="124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  <x:c r="S124" s="176"/>
      <x:c r="T124" s="176"/>
      <x:c r="U124" s="176"/>
      <x:c r="V124" s="176"/>
      <x:c r="W124" s="176"/>
      <x:c r="X124" s="176"/>
    </x:row>
    <x:row r="1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  <x:c r="S125" s="176"/>
      <x:c r="T125" s="176"/>
      <x:c r="U125" s="176"/>
      <x:c r="V125" s="176"/>
      <x:c r="W125" s="176"/>
      <x:c r="X125" s="176"/>
    </x:row>
    <x:row r="126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  <x:c r="S126" s="176"/>
      <x:c r="T126" s="176"/>
      <x:c r="U126" s="176"/>
      <x:c r="V126" s="176"/>
      <x:c r="W126" s="176"/>
      <x:c r="X126" s="176"/>
    </x:row>
    <x:row r="127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  <x:c r="S127" s="176"/>
      <x:c r="T127" s="176"/>
      <x:c r="U127" s="176"/>
      <x:c r="V127" s="176"/>
      <x:c r="W127" s="176"/>
      <x:c r="X127" s="176"/>
    </x:row>
    <x:row r="128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  <x:c r="S128" s="176"/>
      <x:c r="T128" s="176"/>
      <x:c r="U128" s="176"/>
      <x:c r="V128" s="176"/>
      <x:c r="W128" s="176"/>
      <x:c r="X128" s="176"/>
    </x:row>
    <x:row r="129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  <x:c r="S129" s="176"/>
      <x:c r="T129" s="176"/>
      <x:c r="U129" s="176"/>
      <x:c r="V129" s="176"/>
      <x:c r="W129" s="176"/>
      <x:c r="X129" s="176"/>
    </x:row>
    <x:row r="130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  <x:c r="S130" s="176"/>
      <x:c r="T130" s="176"/>
      <x:c r="U130" s="176"/>
      <x:c r="V130" s="176"/>
      <x:c r="W130" s="176"/>
      <x:c r="X130" s="176"/>
    </x:row>
    <x:row r="13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  <x:c r="S131" s="176"/>
      <x:c r="T131" s="176"/>
      <x:c r="U131" s="176"/>
      <x:c r="V131" s="176"/>
      <x:c r="W131" s="176"/>
      <x:c r="X131" s="176"/>
    </x:row>
    <x:row r="132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  <x:c r="S132" s="176"/>
      <x:c r="T132" s="176"/>
      <x:c r="U132" s="176"/>
      <x:c r="V132" s="176"/>
      <x:c r="W132" s="176"/>
      <x:c r="X132" s="176"/>
    </x:row>
    <x:row r="133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  <x:c r="S133" s="176"/>
      <x:c r="T133" s="176"/>
      <x:c r="U133" s="176"/>
      <x:c r="V133" s="176"/>
      <x:c r="W133" s="176"/>
      <x:c r="X133" s="176"/>
    </x:row>
    <x:row r="134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  <x:c r="S134" s="176"/>
      <x:c r="T134" s="176"/>
      <x:c r="U134" s="176"/>
      <x:c r="V134" s="176"/>
      <x:c r="W134" s="176"/>
      <x:c r="X134" s="176"/>
    </x:row>
    <x:row r="13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  <x:c r="S135" s="176"/>
      <x:c r="T135" s="176"/>
      <x:c r="U135" s="176"/>
      <x:c r="V135" s="176"/>
      <x:c r="W135" s="176"/>
      <x:c r="X135" s="176"/>
    </x:row>
    <x:row r="136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  <x:c r="S136" s="176"/>
      <x:c r="T136" s="176"/>
      <x:c r="U136" s="176"/>
      <x:c r="V136" s="176"/>
      <x:c r="W136" s="176"/>
      <x:c r="X136" s="176"/>
    </x:row>
    <x:row r="137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  <x:c r="S137" s="176"/>
      <x:c r="T137" s="176"/>
      <x:c r="U137" s="176"/>
      <x:c r="V137" s="176"/>
      <x:c r="W137" s="176"/>
      <x:c r="X137" s="176"/>
    </x:row>
    <x:row r="138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  <x:c r="S138" s="176"/>
      <x:c r="T138" s="176"/>
      <x:c r="U138" s="176"/>
      <x:c r="V138" s="176"/>
      <x:c r="W138" s="176"/>
      <x:c r="X138" s="176"/>
    </x:row>
    <x:row r="139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  <x:c r="S139" s="176"/>
      <x:c r="T139" s="176"/>
      <x:c r="U139" s="176"/>
      <x:c r="V139" s="176"/>
      <x:c r="W139" s="176"/>
      <x:c r="X139" s="176"/>
    </x:row>
    <x:row r="140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  <x:c r="S140" s="176"/>
      <x:c r="T140" s="176"/>
      <x:c r="U140" s="176"/>
      <x:c r="V140" s="176"/>
      <x:c r="W140" s="176"/>
      <x:c r="X140" s="176"/>
    </x:row>
    <x:row r="14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  <x:c r="S141" s="176"/>
      <x:c r="T141" s="176"/>
      <x:c r="U141" s="176"/>
      <x:c r="V141" s="176"/>
      <x:c r="W141" s="176"/>
      <x:c r="X141" s="176"/>
    </x:row>
    <x:row r="142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  <x:c r="S142" s="176"/>
      <x:c r="T142" s="176"/>
      <x:c r="U142" s="176"/>
      <x:c r="V142" s="176"/>
      <x:c r="W142" s="176"/>
      <x:c r="X142" s="176"/>
    </x:row>
    <x:row r="143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  <x:c r="S143" s="176"/>
      <x:c r="T143" s="176"/>
      <x:c r="U143" s="176"/>
      <x:c r="V143" s="176"/>
      <x:c r="W143" s="176"/>
      <x:c r="X143" s="176"/>
    </x:row>
    <x:row r="144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  <x:c r="S144" s="176"/>
      <x:c r="T144" s="176"/>
      <x:c r="U144" s="176"/>
      <x:c r="V144" s="176"/>
      <x:c r="W144" s="176"/>
      <x:c r="X144" s="176"/>
    </x:row>
    <x:row r="14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  <x:c r="S145" s="176"/>
      <x:c r="T145" s="176"/>
      <x:c r="U145" s="176"/>
      <x:c r="V145" s="176"/>
      <x:c r="W145" s="176"/>
      <x:c r="X145" s="176"/>
    </x:row>
    <x:row r="146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6"/>
      <x:c r="N146" s="176"/>
      <x:c r="O146" s="176"/>
      <x:c r="P146" s="176"/>
      <x:c r="Q146" s="176"/>
      <x:c r="R146" s="176"/>
      <x:c r="S146" s="176"/>
      <x:c r="T146" s="176"/>
      <x:c r="U146" s="176"/>
      <x:c r="V146" s="176"/>
      <x:c r="W146" s="176"/>
      <x:c r="X146" s="176"/>
    </x:row>
    <x:row r="147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6"/>
      <x:c r="N147" s="176"/>
      <x:c r="O147" s="176"/>
      <x:c r="P147" s="176"/>
      <x:c r="Q147" s="176"/>
      <x:c r="R147" s="176"/>
      <x:c r="S147" s="176"/>
      <x:c r="T147" s="176"/>
      <x:c r="U147" s="176"/>
      <x:c r="V147" s="176"/>
      <x:c r="W147" s="176"/>
      <x:c r="X147" s="176"/>
    </x:row>
    <x:row r="148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6"/>
      <x:c r="N148" s="176"/>
      <x:c r="O148" s="176"/>
      <x:c r="P148" s="176"/>
      <x:c r="Q148" s="176"/>
      <x:c r="R148" s="176"/>
      <x:c r="S148" s="176"/>
      <x:c r="T148" s="176"/>
      <x:c r="U148" s="176"/>
      <x:c r="V148" s="176"/>
      <x:c r="W148" s="176"/>
      <x:c r="X148" s="176"/>
    </x:row>
    <x:row r="149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6"/>
      <x:c r="N149" s="176"/>
      <x:c r="O149" s="176"/>
      <x:c r="P149" s="176"/>
      <x:c r="Q149" s="176"/>
      <x:c r="R149" s="176"/>
      <x:c r="S149" s="176"/>
      <x:c r="T149" s="176"/>
      <x:c r="U149" s="176"/>
      <x:c r="V149" s="176"/>
      <x:c r="W149" s="176"/>
      <x:c r="X149" s="176"/>
    </x:row>
    <x:row r="150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6"/>
      <x:c r="N150" s="176"/>
      <x:c r="O150" s="176"/>
      <x:c r="P150" s="176"/>
      <x:c r="Q150" s="176"/>
      <x:c r="R150" s="176"/>
      <x:c r="S150" s="176"/>
      <x:c r="T150" s="176"/>
      <x:c r="U150" s="176"/>
      <x:c r="V150" s="176"/>
      <x:c r="W150" s="176"/>
      <x:c r="X150" s="176"/>
    </x:row>
    <x:row r="151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6"/>
      <x:c r="N151" s="176"/>
      <x:c r="O151" s="176"/>
      <x:c r="P151" s="176"/>
      <x:c r="Q151" s="176"/>
      <x:c r="R151" s="176"/>
      <x:c r="S151" s="176"/>
      <x:c r="T151" s="176"/>
      <x:c r="U151" s="176"/>
      <x:c r="V151" s="176"/>
      <x:c r="W151" s="176"/>
      <x:c r="X151" s="176"/>
    </x:row>
    <x:row r="152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6"/>
      <x:c r="N152" s="176"/>
      <x:c r="O152" s="176"/>
      <x:c r="P152" s="176"/>
      <x:c r="Q152" s="176"/>
      <x:c r="R152" s="176"/>
      <x:c r="S152" s="176"/>
      <x:c r="T152" s="176"/>
      <x:c r="U152" s="176"/>
      <x:c r="V152" s="176"/>
      <x:c r="W152" s="176"/>
      <x:c r="X152" s="176"/>
    </x:row>
    <x:row r="153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6"/>
      <x:c r="N153" s="176"/>
      <x:c r="O153" s="176"/>
      <x:c r="P153" s="176"/>
      <x:c r="Q153" s="176"/>
      <x:c r="R153" s="176"/>
      <x:c r="S153" s="176"/>
      <x:c r="T153" s="176"/>
      <x:c r="U153" s="176"/>
      <x:c r="V153" s="176"/>
      <x:c r="W153" s="176"/>
      <x:c r="X153" s="176"/>
    </x:row>
    <x:row r="154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6"/>
      <x:c r="N154" s="176"/>
      <x:c r="O154" s="176"/>
      <x:c r="P154" s="176"/>
      <x:c r="Q154" s="176"/>
      <x:c r="R154" s="176"/>
      <x:c r="S154" s="176"/>
      <x:c r="T154" s="176"/>
      <x:c r="U154" s="176"/>
      <x:c r="V154" s="176"/>
      <x:c r="W154" s="176"/>
      <x:c r="X154" s="176"/>
    </x:row>
    <x:row r="15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6"/>
      <x:c r="N155" s="176"/>
      <x:c r="O155" s="176"/>
      <x:c r="P155" s="176"/>
      <x:c r="Q155" s="176"/>
      <x:c r="R155" s="176"/>
      <x:c r="S155" s="176"/>
      <x:c r="T155" s="176"/>
      <x:c r="U155" s="176"/>
      <x:c r="V155" s="176"/>
      <x:c r="W155" s="176"/>
      <x:c r="X155" s="176"/>
    </x:row>
    <x:row r="156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6"/>
      <x:c r="N156" s="176"/>
      <x:c r="O156" s="176"/>
      <x:c r="P156" s="176"/>
      <x:c r="Q156" s="176"/>
      <x:c r="R156" s="176"/>
      <x:c r="S156" s="176"/>
      <x:c r="T156" s="176"/>
      <x:c r="U156" s="176"/>
      <x:c r="V156" s="176"/>
      <x:c r="W156" s="176"/>
      <x:c r="X156" s="176"/>
    </x:row>
    <x:row r="157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6"/>
      <x:c r="N157" s="176"/>
      <x:c r="O157" s="176"/>
      <x:c r="P157" s="176"/>
      <x:c r="Q157" s="176"/>
      <x:c r="R157" s="176"/>
      <x:c r="S157" s="176"/>
      <x:c r="T157" s="176"/>
      <x:c r="U157" s="176"/>
      <x:c r="V157" s="176"/>
      <x:c r="W157" s="176"/>
      <x:c r="X157" s="176"/>
    </x:row>
    <x:row r="158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6"/>
      <x:c r="N158" s="176"/>
      <x:c r="O158" s="176"/>
      <x:c r="P158" s="176"/>
      <x:c r="Q158" s="176"/>
      <x:c r="R158" s="176"/>
      <x:c r="S158" s="176"/>
      <x:c r="T158" s="176"/>
      <x:c r="U158" s="176"/>
      <x:c r="V158" s="176"/>
      <x:c r="W158" s="176"/>
      <x:c r="X158" s="176"/>
    </x:row>
    <x:row r="159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6"/>
      <x:c r="N159" s="176"/>
      <x:c r="O159" s="176"/>
      <x:c r="P159" s="176"/>
      <x:c r="Q159" s="176"/>
      <x:c r="R159" s="176"/>
      <x:c r="S159" s="176"/>
      <x:c r="T159" s="176"/>
      <x:c r="U159" s="176"/>
      <x:c r="V159" s="176"/>
      <x:c r="W159" s="176"/>
      <x:c r="X159" s="176"/>
    </x:row>
    <x:row r="160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6"/>
      <x:c r="N160" s="176"/>
      <x:c r="O160" s="176"/>
      <x:c r="P160" s="176"/>
      <x:c r="Q160" s="176"/>
      <x:c r="R160" s="176"/>
      <x:c r="S160" s="176"/>
      <x:c r="T160" s="176"/>
      <x:c r="U160" s="176"/>
      <x:c r="V160" s="176"/>
      <x:c r="W160" s="176"/>
      <x:c r="X160" s="176"/>
    </x:row>
    <x:row r="161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6"/>
      <x:c r="N161" s="176"/>
      <x:c r="O161" s="176"/>
      <x:c r="P161" s="176"/>
      <x:c r="Q161" s="176"/>
      <x:c r="R161" s="176"/>
      <x:c r="S161" s="176"/>
      <x:c r="T161" s="176"/>
      <x:c r="U161" s="176"/>
      <x:c r="V161" s="176"/>
      <x:c r="W161" s="176"/>
      <x:c r="X161" s="176"/>
    </x:row>
    <x:row r="162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6"/>
      <x:c r="N162" s="176"/>
      <x:c r="O162" s="176"/>
      <x:c r="P162" s="176"/>
      <x:c r="Q162" s="176"/>
      <x:c r="R162" s="176"/>
      <x:c r="S162" s="176"/>
      <x:c r="T162" s="176"/>
      <x:c r="U162" s="176"/>
      <x:c r="V162" s="176"/>
      <x:c r="W162" s="176"/>
      <x:c r="X162" s="176"/>
    </x:row>
    <x:row r="163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6"/>
      <x:c r="N163" s="176"/>
      <x:c r="O163" s="176"/>
      <x:c r="P163" s="176"/>
      <x:c r="Q163" s="176"/>
      <x:c r="R163" s="176"/>
      <x:c r="S163" s="176"/>
      <x:c r="T163" s="176"/>
      <x:c r="U163" s="176"/>
      <x:c r="V163" s="176"/>
      <x:c r="W163" s="176"/>
      <x:c r="X163" s="176"/>
    </x:row>
    <x:row r="164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6"/>
      <x:c r="N164" s="176"/>
      <x:c r="O164" s="176"/>
      <x:c r="P164" s="176"/>
      <x:c r="Q164" s="176"/>
      <x:c r="R164" s="176"/>
      <x:c r="S164" s="176"/>
      <x:c r="T164" s="176"/>
      <x:c r="U164" s="176"/>
      <x:c r="V164" s="176"/>
      <x:c r="W164" s="176"/>
      <x:c r="X164" s="176"/>
    </x:row>
    <x:row r="16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6"/>
      <x:c r="N165" s="176"/>
      <x:c r="O165" s="176"/>
      <x:c r="P165" s="176"/>
      <x:c r="Q165" s="176"/>
      <x:c r="R165" s="176"/>
      <x:c r="S165" s="176"/>
      <x:c r="T165" s="176"/>
      <x:c r="U165" s="176"/>
      <x:c r="V165" s="176"/>
      <x:c r="W165" s="176"/>
      <x:c r="X165" s="176"/>
    </x:row>
    <x:row r="166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6"/>
      <x:c r="N166" s="176"/>
      <x:c r="O166" s="176"/>
      <x:c r="P166" s="176"/>
      <x:c r="Q166" s="176"/>
      <x:c r="R166" s="176"/>
      <x:c r="S166" s="176"/>
      <x:c r="T166" s="176"/>
      <x:c r="U166" s="176"/>
      <x:c r="V166" s="176"/>
      <x:c r="W166" s="176"/>
      <x:c r="X166" s="176"/>
    </x:row>
    <x:row r="167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6"/>
      <x:c r="N167" s="176"/>
      <x:c r="O167" s="176"/>
      <x:c r="P167" s="176"/>
      <x:c r="Q167" s="176"/>
      <x:c r="R167" s="176"/>
      <x:c r="S167" s="176"/>
      <x:c r="T167" s="176"/>
      <x:c r="U167" s="176"/>
      <x:c r="V167" s="176"/>
      <x:c r="W167" s="176"/>
      <x:c r="X167" s="176"/>
    </x:row>
    <x:row r="168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6"/>
      <x:c r="N168" s="176"/>
      <x:c r="O168" s="176"/>
      <x:c r="P168" s="176"/>
      <x:c r="Q168" s="176"/>
      <x:c r="R168" s="176"/>
      <x:c r="S168" s="176"/>
      <x:c r="T168" s="176"/>
      <x:c r="U168" s="176"/>
      <x:c r="V168" s="176"/>
      <x:c r="W168" s="176"/>
      <x:c r="X168" s="176"/>
    </x:row>
    <x:row r="169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6"/>
      <x:c r="N169" s="176"/>
      <x:c r="O169" s="176"/>
      <x:c r="P169" s="176"/>
      <x:c r="Q169" s="176"/>
      <x:c r="R169" s="176"/>
      <x:c r="S169" s="176"/>
      <x:c r="T169" s="176"/>
      <x:c r="U169" s="176"/>
      <x:c r="V169" s="176"/>
      <x:c r="W169" s="176"/>
      <x:c r="X169" s="176"/>
    </x:row>
    <x:row r="170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6"/>
      <x:c r="N170" s="176"/>
      <x:c r="O170" s="176"/>
      <x:c r="P170" s="176"/>
      <x:c r="Q170" s="176"/>
      <x:c r="R170" s="176"/>
      <x:c r="S170" s="176"/>
      <x:c r="T170" s="176"/>
      <x:c r="U170" s="176"/>
      <x:c r="V170" s="176"/>
      <x:c r="W170" s="176"/>
      <x:c r="X170" s="176"/>
    </x:row>
    <x:row r="171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6"/>
      <x:c r="N171" s="176"/>
      <x:c r="O171" s="176"/>
      <x:c r="P171" s="176"/>
      <x:c r="Q171" s="176"/>
      <x:c r="R171" s="176"/>
      <x:c r="S171" s="176"/>
      <x:c r="T171" s="176"/>
      <x:c r="U171" s="176"/>
      <x:c r="V171" s="176"/>
      <x:c r="W171" s="176"/>
      <x:c r="X171" s="176"/>
    </x:row>
    <x:row r="172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6"/>
      <x:c r="N172" s="176"/>
      <x:c r="O172" s="176"/>
      <x:c r="P172" s="176"/>
      <x:c r="Q172" s="176"/>
      <x:c r="R172" s="176"/>
      <x:c r="S172" s="176"/>
      <x:c r="T172" s="176"/>
      <x:c r="U172" s="176"/>
      <x:c r="V172" s="176"/>
      <x:c r="W172" s="176"/>
      <x:c r="X172" s="176"/>
    </x:row>
    <x:row r="173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6"/>
      <x:c r="N173" s="176"/>
      <x:c r="O173" s="176"/>
      <x:c r="P173" s="176"/>
      <x:c r="Q173" s="176"/>
      <x:c r="R173" s="176"/>
      <x:c r="S173" s="176"/>
      <x:c r="T173" s="176"/>
      <x:c r="U173" s="176"/>
      <x:c r="V173" s="176"/>
      <x:c r="W173" s="176"/>
      <x:c r="X173" s="176"/>
    </x:row>
    <x:row r="174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6"/>
      <x:c r="N174" s="176"/>
      <x:c r="O174" s="176"/>
      <x:c r="P174" s="176"/>
      <x:c r="Q174" s="176"/>
      <x:c r="R174" s="176"/>
      <x:c r="S174" s="176"/>
      <x:c r="T174" s="176"/>
      <x:c r="U174" s="176"/>
      <x:c r="V174" s="176"/>
      <x:c r="W174" s="176"/>
      <x:c r="X174" s="176"/>
    </x:row>
    <x:row r="17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6"/>
      <x:c r="N175" s="176"/>
      <x:c r="O175" s="176"/>
      <x:c r="P175" s="176"/>
      <x:c r="Q175" s="176"/>
      <x:c r="R175" s="176"/>
      <x:c r="S175" s="176"/>
      <x:c r="T175" s="176"/>
      <x:c r="U175" s="176"/>
      <x:c r="V175" s="176"/>
      <x:c r="W175" s="176"/>
      <x:c r="X175" s="176"/>
    </x:row>
    <x:row r="176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6"/>
      <x:c r="N176" s="176"/>
      <x:c r="O176" s="176"/>
      <x:c r="P176" s="176"/>
      <x:c r="Q176" s="176"/>
      <x:c r="R176" s="176"/>
      <x:c r="S176" s="176"/>
      <x:c r="T176" s="176"/>
      <x:c r="U176" s="176"/>
      <x:c r="V176" s="176"/>
      <x:c r="W176" s="176"/>
      <x:c r="X176" s="176"/>
    </x:row>
    <x:row r="177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6"/>
      <x:c r="N177" s="176"/>
      <x:c r="O177" s="176"/>
      <x:c r="P177" s="176"/>
      <x:c r="Q177" s="176"/>
      <x:c r="R177" s="176"/>
      <x:c r="S177" s="176"/>
      <x:c r="T177" s="176"/>
      <x:c r="U177" s="176"/>
      <x:c r="V177" s="176"/>
      <x:c r="W177" s="176"/>
      <x:c r="X177" s="176"/>
    </x:row>
    <x:row r="178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6"/>
      <x:c r="N178" s="176"/>
      <x:c r="O178" s="176"/>
      <x:c r="P178" s="176"/>
      <x:c r="Q178" s="176"/>
      <x:c r="R178" s="176"/>
      <x:c r="S178" s="176"/>
      <x:c r="T178" s="176"/>
      <x:c r="U178" s="176"/>
      <x:c r="V178" s="176"/>
      <x:c r="W178" s="176"/>
      <x:c r="X178" s="176"/>
    </x:row>
    <x:row r="179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6"/>
      <x:c r="N179" s="176"/>
      <x:c r="O179" s="176"/>
      <x:c r="P179" s="176"/>
      <x:c r="Q179" s="176"/>
      <x:c r="R179" s="176"/>
      <x:c r="S179" s="176"/>
      <x:c r="T179" s="176"/>
      <x:c r="U179" s="176"/>
      <x:c r="V179" s="176"/>
      <x:c r="W179" s="176"/>
      <x:c r="X179" s="176"/>
    </x:row>
    <x:row r="180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6"/>
      <x:c r="N180" s="176"/>
      <x:c r="O180" s="176"/>
      <x:c r="P180" s="176"/>
      <x:c r="Q180" s="176"/>
      <x:c r="R180" s="176"/>
      <x:c r="S180" s="176"/>
      <x:c r="T180" s="176"/>
      <x:c r="U180" s="176"/>
      <x:c r="V180" s="176"/>
      <x:c r="W180" s="176"/>
      <x:c r="X180" s="176"/>
    </x:row>
    <x:row r="181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6"/>
      <x:c r="N181" s="176"/>
      <x:c r="O181" s="176"/>
      <x:c r="P181" s="176"/>
      <x:c r="Q181" s="176"/>
      <x:c r="R181" s="176"/>
      <x:c r="S181" s="176"/>
      <x:c r="T181" s="176"/>
      <x:c r="U181" s="176"/>
      <x:c r="V181" s="176"/>
      <x:c r="W181" s="176"/>
      <x:c r="X181" s="176"/>
    </x:row>
    <x:row r="182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6"/>
      <x:c r="N182" s="176"/>
      <x:c r="O182" s="176"/>
      <x:c r="P182" s="176"/>
      <x:c r="Q182" s="176"/>
      <x:c r="R182" s="176"/>
      <x:c r="S182" s="176"/>
      <x:c r="T182" s="176"/>
      <x:c r="U182" s="176"/>
      <x:c r="V182" s="176"/>
      <x:c r="W182" s="176"/>
      <x:c r="X182" s="176"/>
    </x:row>
    <x:row r="183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6"/>
      <x:c r="N183" s="176"/>
      <x:c r="O183" s="176"/>
      <x:c r="P183" s="176"/>
      <x:c r="Q183" s="176"/>
      <x:c r="R183" s="176"/>
      <x:c r="S183" s="176"/>
      <x:c r="T183" s="176"/>
      <x:c r="U183" s="176"/>
      <x:c r="V183" s="176"/>
      <x:c r="W183" s="176"/>
      <x:c r="X183" s="176"/>
    </x:row>
    <x:row r="184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6"/>
      <x:c r="N184" s="176"/>
      <x:c r="O184" s="176"/>
      <x:c r="P184" s="176"/>
      <x:c r="Q184" s="176"/>
      <x:c r="R184" s="176"/>
      <x:c r="S184" s="176"/>
      <x:c r="T184" s="176"/>
      <x:c r="U184" s="176"/>
      <x:c r="V184" s="176"/>
      <x:c r="W184" s="176"/>
      <x:c r="X184" s="176"/>
    </x:row>
    <x:row r="18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6"/>
      <x:c r="N185" s="176"/>
      <x:c r="O185" s="176"/>
      <x:c r="P185" s="176"/>
      <x:c r="Q185" s="176"/>
      <x:c r="R185" s="176"/>
      <x:c r="S185" s="176"/>
      <x:c r="T185" s="176"/>
      <x:c r="U185" s="176"/>
      <x:c r="V185" s="176"/>
      <x:c r="W185" s="176"/>
      <x:c r="X185" s="176"/>
    </x:row>
    <x:row r="186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6"/>
      <x:c r="N186" s="176"/>
      <x:c r="O186" s="176"/>
      <x:c r="P186" s="176"/>
      <x:c r="Q186" s="176"/>
      <x:c r="R186" s="176"/>
      <x:c r="S186" s="176"/>
      <x:c r="T186" s="176"/>
      <x:c r="U186" s="176"/>
      <x:c r="V186" s="176"/>
      <x:c r="W186" s="176"/>
      <x:c r="X186" s="176"/>
    </x:row>
    <x:row r="187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6"/>
      <x:c r="N187" s="176"/>
      <x:c r="O187" s="176"/>
      <x:c r="P187" s="176"/>
      <x:c r="Q187" s="176"/>
      <x:c r="R187" s="176"/>
      <x:c r="S187" s="176"/>
      <x:c r="T187" s="176"/>
      <x:c r="U187" s="176"/>
      <x:c r="V187" s="176"/>
      <x:c r="W187" s="176"/>
      <x:c r="X187" s="176"/>
    </x:row>
    <x:row r="188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6"/>
      <x:c r="N188" s="176"/>
      <x:c r="O188" s="176"/>
      <x:c r="P188" s="176"/>
      <x:c r="Q188" s="176"/>
      <x:c r="R188" s="176"/>
      <x:c r="S188" s="176"/>
      <x:c r="T188" s="176"/>
      <x:c r="U188" s="176"/>
      <x:c r="V188" s="176"/>
      <x:c r="W188" s="176"/>
      <x:c r="X188" s="176"/>
    </x:row>
    <x:row r="189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6"/>
      <x:c r="N189" s="176"/>
      <x:c r="O189" s="176"/>
      <x:c r="P189" s="176"/>
      <x:c r="Q189" s="176"/>
      <x:c r="R189" s="176"/>
      <x:c r="S189" s="176"/>
      <x:c r="T189" s="176"/>
      <x:c r="U189" s="176"/>
      <x:c r="V189" s="176"/>
      <x:c r="W189" s="176"/>
      <x:c r="X189" s="176"/>
    </x:row>
    <x:row r="190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6"/>
      <x:c r="N190" s="176"/>
      <x:c r="O190" s="176"/>
      <x:c r="P190" s="176"/>
      <x:c r="Q190" s="176"/>
      <x:c r="R190" s="176"/>
      <x:c r="S190" s="176"/>
      <x:c r="T190" s="176"/>
      <x:c r="U190" s="176"/>
      <x:c r="V190" s="176"/>
      <x:c r="W190" s="176"/>
      <x:c r="X190" s="176"/>
    </x:row>
    <x:row r="191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6"/>
      <x:c r="N191" s="176"/>
      <x:c r="O191" s="176"/>
      <x:c r="P191" s="176"/>
      <x:c r="Q191" s="176"/>
      <x:c r="R191" s="176"/>
      <x:c r="S191" s="176"/>
      <x:c r="T191" s="176"/>
      <x:c r="U191" s="176"/>
      <x:c r="V191" s="176"/>
      <x:c r="W191" s="176"/>
      <x:c r="X191" s="176"/>
    </x:row>
    <x:row r="192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6"/>
      <x:c r="N192" s="176"/>
      <x:c r="O192" s="176"/>
      <x:c r="P192" s="176"/>
      <x:c r="Q192" s="176"/>
      <x:c r="R192" s="176"/>
      <x:c r="S192" s="176"/>
      <x:c r="T192" s="176"/>
      <x:c r="U192" s="176"/>
      <x:c r="V192" s="176"/>
      <x:c r="W192" s="176"/>
      <x:c r="X192" s="176"/>
    </x:row>
    <x:row r="193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6"/>
      <x:c r="N193" s="176"/>
      <x:c r="O193" s="176"/>
      <x:c r="P193" s="176"/>
      <x:c r="Q193" s="176"/>
      <x:c r="R193" s="176"/>
      <x:c r="S193" s="176"/>
      <x:c r="T193" s="176"/>
      <x:c r="U193" s="176"/>
      <x:c r="V193" s="176"/>
      <x:c r="W193" s="176"/>
      <x:c r="X193" s="176"/>
    </x:row>
    <x:row r="194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6"/>
      <x:c r="N194" s="176"/>
      <x:c r="O194" s="176"/>
      <x:c r="P194" s="176"/>
      <x:c r="Q194" s="176"/>
      <x:c r="R194" s="176"/>
      <x:c r="S194" s="176"/>
      <x:c r="T194" s="176"/>
      <x:c r="U194" s="176"/>
      <x:c r="V194" s="176"/>
      <x:c r="W194" s="176"/>
      <x:c r="X194" s="176"/>
    </x:row>
    <x:row r="19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6"/>
      <x:c r="N195" s="176"/>
      <x:c r="O195" s="176"/>
      <x:c r="P195" s="176"/>
      <x:c r="Q195" s="176"/>
      <x:c r="R195" s="176"/>
      <x:c r="S195" s="176"/>
      <x:c r="T195" s="176"/>
      <x:c r="U195" s="176"/>
      <x:c r="V195" s="176"/>
      <x:c r="W195" s="176"/>
      <x:c r="X195" s="176"/>
    </x:row>
    <x:row r="196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6"/>
      <x:c r="N196" s="176"/>
      <x:c r="O196" s="176"/>
      <x:c r="P196" s="176"/>
      <x:c r="Q196" s="176"/>
      <x:c r="R196" s="176"/>
      <x:c r="S196" s="176"/>
      <x:c r="T196" s="176"/>
      <x:c r="U196" s="176"/>
      <x:c r="V196" s="176"/>
      <x:c r="W196" s="176"/>
      <x:c r="X196" s="176"/>
    </x:row>
    <x:row r="197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6"/>
      <x:c r="N197" s="176"/>
      <x:c r="O197" s="176"/>
      <x:c r="P197" s="176"/>
      <x:c r="Q197" s="176"/>
      <x:c r="R197" s="176"/>
      <x:c r="S197" s="176"/>
      <x:c r="T197" s="176"/>
      <x:c r="U197" s="176"/>
      <x:c r="V197" s="176"/>
      <x:c r="W197" s="176"/>
      <x:c r="X197" s="176"/>
    </x:row>
    <x:row r="198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6"/>
      <x:c r="N198" s="176"/>
      <x:c r="O198" s="176"/>
      <x:c r="P198" s="176"/>
      <x:c r="Q198" s="176"/>
      <x:c r="R198" s="176"/>
      <x:c r="S198" s="176"/>
      <x:c r="T198" s="176"/>
      <x:c r="U198" s="176"/>
      <x:c r="V198" s="176"/>
      <x:c r="W198" s="176"/>
      <x:c r="X198" s="176"/>
    </x:row>
    <x:row r="199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6"/>
      <x:c r="N199" s="176"/>
      <x:c r="O199" s="176"/>
      <x:c r="P199" s="176"/>
      <x:c r="Q199" s="176"/>
      <x:c r="R199" s="176"/>
      <x:c r="S199" s="176"/>
      <x:c r="T199" s="176"/>
      <x:c r="U199" s="176"/>
      <x:c r="V199" s="176"/>
      <x:c r="W199" s="176"/>
      <x:c r="X199" s="176"/>
    </x:row>
    <x:row r="200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6"/>
      <x:c r="N200" s="176"/>
      <x:c r="O200" s="176"/>
      <x:c r="P200" s="176"/>
      <x:c r="Q200" s="176"/>
      <x:c r="R200" s="176"/>
      <x:c r="S200" s="176"/>
      <x:c r="T200" s="176"/>
      <x:c r="U200" s="176"/>
      <x:c r="V200" s="176"/>
      <x:c r="W200" s="176"/>
      <x:c r="X200" s="176"/>
    </x:row>
  </x:sheetData>
  <x:mergeCells>
    <x:mergeCell ref="A1:H1"/>
    <x:mergeCell ref="A10:H10"/>
    <x:mergeCell ref="A22:H22"/>
    <x:mergeCell ref="A23:H27"/>
    <x:mergeCell ref="A29:H29"/>
    <x:mergeCell ref="A30:H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12" hidden="0" customWidth="1"/>
    <x:col min="5" max="5" width="27" hidden="0" customWidth="1"/>
    <x:col min="6" max="6" width="19" hidden="0" customWidth="1"/>
    <x:col min="7" max="7" width="25" hidden="0" customWidth="1"/>
    <x:col min="8" max="8" width="22" hidden="0" customWidth="1"/>
    <x:col min="9" max="9" width="22" hidden="0" customWidth="1"/>
    <x:col min="10" max="10" width="22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10" hidden="0" customWidth="1"/>
    <x:col min="18" max="18" width="10" hidden="0" customWidth="1"/>
    <x:col min="19" max="19" width="10" hidden="0" customWidth="1"/>
    <x:col min="20" max="20" width="52" hidden="0" customWidth="1"/>
    <x:col min="21" max="21" width="12" hidden="0" customWidth="1"/>
    <x:col min="22" max="22" width="12" hidden="0" customWidth="1"/>
    <x:col min="23" max="23" width="12" hidden="0" customWidth="1"/>
    <x:col min="24" max="24" width="34" hidden="0" customWidth="1"/>
  </x:cols>
  <x:sheetData>
    <x:row r="1" ht="30" customHeight="1">
      <x:c r="A1" s="273" t="str">
        <x:v>Complete Regional Dex — Exact Base Stats, BST &amp; Abilities</x:v>
      </x:c>
      <x:c r="B1" s="273"/>
      <x:c r="C1" s="273"/>
      <x:c r="D1" s="273"/>
      <x:c r="E1" s="273"/>
      <x:c r="F1" s="273"/>
      <x:c r="G1" s="273"/>
      <x:c r="H1" s="273"/>
      <x:c r="I1" s="273"/>
      <x:c r="J1" s="273"/>
      <x:c r="K1" s="273"/>
      <x:c r="L1" s="273"/>
      <x:c r="M1" s="273"/>
      <x:c r="N1" s="273"/>
      <x:c r="O1" s="273"/>
      <x:c r="P1" s="273"/>
      <x:c r="Q1" s="273"/>
      <x:c r="R1" s="273"/>
      <x:c r="S1" s="273"/>
      <x:c r="T1" s="273"/>
      <x:c r="U1" s="273"/>
      <x:c r="V1" s="273"/>
      <x:c r="W1" s="273"/>
      <x:c r="X1" s="273"/>
    </x:row>
    <x:row r="2" ht="38" customHeight="1">
      <x:c r="A2" s="197" t="str">
        <x:v>Dex #</x:v>
      </x:c>
      <x:c r="B2" s="197" t="str">
        <x:v>Monster</x:v>
      </x:c>
      <x:c r="C2" s="197" t="str">
        <x:v>Type 1</x:v>
      </x:c>
      <x:c r="D2" s="197" t="str">
        <x:v>Type 2</x:v>
      </x:c>
      <x:c r="E2" s="197" t="str">
        <x:v>Role / Evolution Position</x:v>
      </x:c>
      <x:c r="F2" s="197" t="str">
        <x:v>Power Class</x:v>
      </x:c>
      <x:c r="G2" s="197" t="str">
        <x:v>Stat Shape</x:v>
      </x:c>
      <x:c r="H2" s="197" t="str">
        <x:v>Ability 1</x:v>
      </x:c>
      <x:c r="I2" s="197" t="str">
        <x:v>Ability 2</x:v>
      </x:c>
      <x:c r="J2" s="197" t="str">
        <x:v>Hidden Ability</x:v>
      </x:c>
      <x:c r="K2" s="197" t="str">
        <x:v>HP</x:v>
      </x:c>
      <x:c r="L2" s="197" t="str">
        <x:v>Attack</x:v>
      </x:c>
      <x:c r="M2" s="197" t="str">
        <x:v>Defense</x:v>
      </x:c>
      <x:c r="N2" s="197" t="str">
        <x:v>Sp. Atk</x:v>
      </x:c>
      <x:c r="O2" s="197" t="str">
        <x:v>Sp. Def</x:v>
      </x:c>
      <x:c r="P2" s="197" t="str">
        <x:v>Speed</x:v>
      </x:c>
      <x:c r="Q2" s="197" t="str">
        <x:v>BST</x:v>
      </x:c>
      <x:c r="R2" s="197" t="str">
        <x:v>Target BST</x:v>
      </x:c>
      <x:c r="S2" s="197" t="str">
        <x:v>BST Delta</x:v>
      </x:c>
      <x:c r="T2" s="197" t="str">
        <x:v>Stat Rationale</x:v>
      </x:c>
      <x:c r="U2" s="197" t="str">
        <x:v>A1 Class</x:v>
      </x:c>
      <x:c r="V2" s="197" t="str">
        <x:v>A2 Class</x:v>
      </x:c>
      <x:c r="W2" s="197" t="str">
        <x:v>HA Class</x:v>
      </x:c>
      <x:c r="X2" s="197" t="str">
        <x:v>Source</x:v>
      </x:c>
    </x:row>
    <x:row r="3">
      <x:c r="A3" s="198" t="n">
        <x:v>1</x:v>
      </x:c>
      <x:c r="B3" s="199" t="str">
        <x:v>Scarimp</x:v>
      </x:c>
      <x:c r="C3" s="199" t="str">
        <x:v>Dark</x:v>
      </x:c>
      <x:c r="D3" s="199" t="str"/>
      <x:c r="E3" s="199" t="str">
        <x:v>Starter Stage 1</x:v>
      </x:c>
      <x:c r="F3" s="199" t="str">
        <x:v>Base / Early</x:v>
      </x:c>
      <x:c r="G3" s="199" t="str">
        <x:v>M | H | L | M | M | H</x:v>
      </x:c>
      <x:c r="H3" s="199" t="str">
        <x:v>Feintstep</x:v>
      </x:c>
      <x:c r="I3" s="199" t="str">
        <x:v>Wayfarer</x:v>
      </x:c>
      <x:c r="J3" s="199" t="str">
        <x:v>Improviser</x:v>
      </x:c>
      <x:c r="K3" s="200" t="n">
        <x:v>50</x:v>
      </x:c>
      <x:c r="L3" s="200" t="n">
        <x:v>65</x:v>
      </x:c>
      <x:c r="M3" s="200" t="n">
        <x:v>30</x:v>
      </x:c>
      <x:c r="N3" s="200" t="n">
        <x:v>50</x:v>
      </x:c>
      <x:c r="O3" s="200" t="n">
        <x:v>50</x:v>
      </x:c>
      <x:c r="P3" s="200" t="n">
        <x:v>65</x:v>
      </x:c>
      <x:c r="Q3" s="200" t="n">
        <x:f>SUM(K3:P3)</x:f>
        <x:v>310</x:v>
      </x:c>
      <x:c r="R3" s="200" t="n">
        <x:v>310</x:v>
      </x:c>
      <x:c r="S3" s="200" t="n">
        <x:f>Q3-R3</x:f>
        <x:v>0</x:v>
      </x:c>
      <x:c r="T3" s="199" t="str">
        <x:v>Leans on Attack / Speed; gives up Defense to preserve the handoff profile M | H | L | M | M | H.</x:v>
      </x:c>
      <x:c r="U3" s="199" t="str">
        <x:v>Standard</x:v>
      </x:c>
      <x:c r="V3" s="199" t="str">
        <x:v>Standard</x:v>
      </x:c>
      <x:c r="W3" s="199" t="str">
        <x:v>Signature</x:v>
      </x:c>
      <x:c r="X3" s="201" t="str">
        <x:v>187-Monster Ability &amp; BST Design Handoff</x:v>
      </x:c>
    </x:row>
    <x:row r="4">
      <x:c r="A4" s="202" t="n">
        <x:v>2</x:v>
      </x:c>
      <x:c r="B4" s="203" t="str">
        <x:v>Grimscar</x:v>
      </x:c>
      <x:c r="C4" s="203" t="str">
        <x:v>Dark</x:v>
      </x:c>
      <x:c r="D4" s="203" t="str"/>
      <x:c r="E4" s="203" t="str">
        <x:v>Starter Stage 2</x:v>
      </x:c>
      <x:c r="F4" s="203" t="str">
        <x:v>Middle / Evolving</x:v>
      </x:c>
      <x:c r="G4" s="203" t="str">
        <x:v>M | H | M-L | M | M | H</x:v>
      </x:c>
      <x:c r="H4" s="203" t="str">
        <x:v>Feintstep</x:v>
      </x:c>
      <x:c r="I4" s="203" t="str">
        <x:v>Ambush</x:v>
      </x:c>
      <x:c r="J4" s="203" t="str">
        <x:v>Improviser</x:v>
      </x:c>
      <x:c r="K4" s="204" t="n">
        <x:v>65</x:v>
      </x:c>
      <x:c r="L4" s="204" t="n">
        <x:v>85</x:v>
      </x:c>
      <x:c r="M4" s="204" t="n">
        <x:v>50</x:v>
      </x:c>
      <x:c r="N4" s="204" t="n">
        <x:v>65</x:v>
      </x:c>
      <x:c r="O4" s="204" t="n">
        <x:v>60</x:v>
      </x:c>
      <x:c r="P4" s="204" t="n">
        <x:v>85</x:v>
      </x:c>
      <x:c r="Q4" s="204" t="n">
        <x:f>SUM(K4:P4)</x:f>
        <x:v>410</x:v>
      </x:c>
      <x:c r="R4" s="204" t="n">
        <x:v>410</x:v>
      </x:c>
      <x:c r="S4" s="204" t="n">
        <x:f>Q4-R4</x:f>
        <x:v>0</x:v>
      </x:c>
      <x:c r="T4" s="203" t="str">
        <x:v>Leans on Attack / Speed; gives up Defense to preserve the handoff profile M | H | M-L | M | M | H.</x:v>
      </x:c>
      <x:c r="U4" s="203" t="str">
        <x:v>Standard</x:v>
      </x:c>
      <x:c r="V4" s="203" t="str">
        <x:v>Standard</x:v>
      </x:c>
      <x:c r="W4" s="203" t="str">
        <x:v>Signature</x:v>
      </x:c>
      <x:c r="X4" s="205" t="str">
        <x:v>187-Monster Ability &amp; BST Design Handoff</x:v>
      </x:c>
    </x:row>
    <x:row r="5">
      <x:c r="A5" s="202" t="n">
        <x:v>3</x:v>
      </x:c>
      <x:c r="B5" s="203" t="str">
        <x:v>Noctafey</x:v>
      </x:c>
      <x:c r="C5" s="203" t="str">
        <x:v>Dark</x:v>
      </x:c>
      <x:c r="D5" s="203" t="str">
        <x:v>Fairy</x:v>
      </x:c>
      <x:c r="E5" s="203" t="str">
        <x:v>Starter Final</x:v>
      </x:c>
      <x:c r="F5" s="203" t="str">
        <x:v>Elite Final</x:v>
      </x:c>
      <x:c r="G5" s="203" t="str">
        <x:v>M | H | M-L | H | M | H</x:v>
      </x:c>
      <x:c r="H5" s="203" t="str">
        <x:v>Feintstep</x:v>
      </x:c>
      <x:c r="I5" s="203" t="str">
        <x:v>Ambush</x:v>
      </x:c>
      <x:c r="J5" s="203" t="str">
        <x:v>Improviser</x:v>
      </x:c>
      <x:c r="K5" s="204" t="n">
        <x:v>75</x:v>
      </x:c>
      <x:c r="L5" s="204" t="n">
        <x:v>105</x:v>
      </x:c>
      <x:c r="M5" s="204" t="n">
        <x:v>65</x:v>
      </x:c>
      <x:c r="N5" s="204" t="n">
        <x:v>105</x:v>
      </x:c>
      <x:c r="O5" s="204" t="n">
        <x:v>75</x:v>
      </x:c>
      <x:c r="P5" s="204" t="n">
        <x:v>105</x:v>
      </x:c>
      <x:c r="Q5" s="204" t="n">
        <x:f>SUM(K5:P5)</x:f>
        <x:v>530</x:v>
      </x:c>
      <x:c r="R5" s="204" t="n">
        <x:v>530</x:v>
      </x:c>
      <x:c r="S5" s="204" t="n">
        <x:f>Q5-R5</x:f>
        <x:v>0</x:v>
      </x:c>
      <x:c r="T5" s="203" t="str">
        <x:v>Leans on Attack / Sp. Atk; gives up Defense to preserve the handoff profile M | H | M-L | H | M | H.</x:v>
      </x:c>
      <x:c r="U5" s="203" t="str">
        <x:v>Standard</x:v>
      </x:c>
      <x:c r="V5" s="203" t="str">
        <x:v>Standard</x:v>
      </x:c>
      <x:c r="W5" s="203" t="str">
        <x:v>Signature</x:v>
      </x:c>
      <x:c r="X5" s="205" t="str">
        <x:v>187-Monster Ability &amp; BST Design Handoff</x:v>
      </x:c>
    </x:row>
    <x:row r="6">
      <x:c r="A6" s="202" t="n">
        <x:v>4</x:v>
      </x:c>
      <x:c r="B6" s="203" t="str">
        <x:v>Calibrit</x:v>
      </x:c>
      <x:c r="C6" s="203" t="str">
        <x:v>Psychic</x:v>
      </x:c>
      <x:c r="D6" s="203" t="str"/>
      <x:c r="E6" s="203" t="str">
        <x:v>Starter Stage 1</x:v>
      </x:c>
      <x:c r="F6" s="203" t="str">
        <x:v>Base / Early</x:v>
      </x:c>
      <x:c r="G6" s="203" t="str">
        <x:v>M-L | M | M | H | M | M-H</x:v>
      </x:c>
      <x:c r="H6" s="203" t="str">
        <x:v>Keen Sense</x:v>
      </x:c>
      <x:c r="I6" s="203" t="str">
        <x:v>Focus Edge</x:v>
      </x:c>
      <x:c r="J6" s="203" t="str">
        <x:v>Proof by Cut</x:v>
      </x:c>
      <x:c r="K6" s="204" t="n">
        <x:v>40</x:v>
      </x:c>
      <x:c r="L6" s="204" t="n">
        <x:v>50</x:v>
      </x:c>
      <x:c r="M6" s="204" t="n">
        <x:v>50</x:v>
      </x:c>
      <x:c r="N6" s="204" t="n">
        <x:v>65</x:v>
      </x:c>
      <x:c r="O6" s="204" t="n">
        <x:v>50</x:v>
      </x:c>
      <x:c r="P6" s="204" t="n">
        <x:v>55</x:v>
      </x:c>
      <x:c r="Q6" s="204" t="n">
        <x:f>SUM(K6:P6)</x:f>
        <x:v>310</x:v>
      </x:c>
      <x:c r="R6" s="204" t="n">
        <x:v>310</x:v>
      </x:c>
      <x:c r="S6" s="204" t="n">
        <x:f>Q6-R6</x:f>
        <x:v>0</x:v>
      </x:c>
      <x:c r="T6" s="203" t="str">
        <x:v>Leans on Sp. Atk; gives up HP to preserve the handoff profile M-L | M | M | H | M | M-H.</x:v>
      </x:c>
      <x:c r="U6" s="203" t="str">
        <x:v>Standard</x:v>
      </x:c>
      <x:c r="V6" s="203" t="str">
        <x:v>Standard</x:v>
      </x:c>
      <x:c r="W6" s="203" t="str">
        <x:v>Signature</x:v>
      </x:c>
      <x:c r="X6" s="205" t="str">
        <x:v>187-Monster Ability &amp; BST Design Handoff</x:v>
      </x:c>
    </x:row>
    <x:row r="7">
      <x:c r="A7" s="202" t="n">
        <x:v>5</x:v>
      </x:c>
      <x:c r="B7" s="203" t="str">
        <x:v>Severyn</x:v>
      </x:c>
      <x:c r="C7" s="203" t="str">
        <x:v>Psychic</x:v>
      </x:c>
      <x:c r="D7" s="203" t="str"/>
      <x:c r="E7" s="203" t="str">
        <x:v>Starter Stage 2</x:v>
      </x:c>
      <x:c r="F7" s="203" t="str">
        <x:v>Middle / Evolving</x:v>
      </x:c>
      <x:c r="G7" s="203" t="str">
        <x:v>M | M | M | H | M | H</x:v>
      </x:c>
      <x:c r="H7" s="203" t="str">
        <x:v>Keen Sense</x:v>
      </x:c>
      <x:c r="I7" s="203" t="str">
        <x:v>Focus Edge</x:v>
      </x:c>
      <x:c r="J7" s="203" t="str">
        <x:v>Proof by Cut</x:v>
      </x:c>
      <x:c r="K7" s="204" t="n">
        <x:v>60</x:v>
      </x:c>
      <x:c r="L7" s="204" t="n">
        <x:v>60</x:v>
      </x:c>
      <x:c r="M7" s="204" t="n">
        <x:v>60</x:v>
      </x:c>
      <x:c r="N7" s="204" t="n">
        <x:v>85</x:v>
      </x:c>
      <x:c r="O7" s="204" t="n">
        <x:v>60</x:v>
      </x:c>
      <x:c r="P7" s="204" t="n">
        <x:v>85</x:v>
      </x:c>
      <x:c r="Q7" s="204" t="n">
        <x:f>SUM(K7:P7)</x:f>
        <x:v>410</x:v>
      </x:c>
      <x:c r="R7" s="204" t="n">
        <x:v>410</x:v>
      </x:c>
      <x:c r="S7" s="204" t="n">
        <x:f>Q7-R7</x:f>
        <x:v>0</x:v>
      </x:c>
      <x:c r="T7" s="203" t="str">
        <x:v>Leans on Sp. Atk / Speed; gives up HP / Attack to preserve the handoff profile M | M | M | H | M | H.</x:v>
      </x:c>
      <x:c r="U7" s="203" t="str">
        <x:v>Standard</x:v>
      </x:c>
      <x:c r="V7" s="203" t="str">
        <x:v>Standard</x:v>
      </x:c>
      <x:c r="W7" s="203" t="str">
        <x:v>Signature</x:v>
      </x:c>
      <x:c r="X7" s="205" t="str">
        <x:v>187-Monster Ability &amp; BST Design Handoff</x:v>
      </x:c>
    </x:row>
    <x:row r="8">
      <x:c r="A8" s="202" t="n">
        <x:v>6</x:v>
      </x:c>
      <x:c r="B8" s="203" t="str">
        <x:v>Axiomaro</x:v>
      </x:c>
      <x:c r="C8" s="203" t="str">
        <x:v>Psychic</x:v>
      </x:c>
      <x:c r="D8" s="203" t="str">
        <x:v>Steel</x:v>
      </x:c>
      <x:c r="E8" s="203" t="str">
        <x:v>Starter Final</x:v>
      </x:c>
      <x:c r="F8" s="203" t="str">
        <x:v>Elite Final</x:v>
      </x:c>
      <x:c r="G8" s="203" t="str">
        <x:v>M | H | H | H | M | M-H</x:v>
      </x:c>
      <x:c r="H8" s="203" t="str">
        <x:v>Keen Sense</x:v>
      </x:c>
      <x:c r="I8" s="203" t="str">
        <x:v>Focus Edge</x:v>
      </x:c>
      <x:c r="J8" s="203" t="str">
        <x:v>Proof by Cut</x:v>
      </x:c>
      <x:c r="K8" s="204" t="n">
        <x:v>70</x:v>
      </x:c>
      <x:c r="L8" s="204" t="n">
        <x:v>100</x:v>
      </x:c>
      <x:c r="M8" s="204" t="n">
        <x:v>100</x:v>
      </x:c>
      <x:c r="N8" s="204" t="n">
        <x:v>100</x:v>
      </x:c>
      <x:c r="O8" s="204" t="n">
        <x:v>75</x:v>
      </x:c>
      <x:c r="P8" s="204" t="n">
        <x:v>85</x:v>
      </x:c>
      <x:c r="Q8" s="204" t="n">
        <x:f>SUM(K8:P8)</x:f>
        <x:v>530</x:v>
      </x:c>
      <x:c r="R8" s="204" t="n">
        <x:v>530</x:v>
      </x:c>
      <x:c r="S8" s="204" t="n">
        <x:f>Q8-R8</x:f>
        <x:v>0</x:v>
      </x:c>
      <x:c r="T8" s="203" t="str">
        <x:v>Leans on Attack / Defense; gives up HP / Sp. Def to preserve the handoff profile M | H | H | H | M | M-H.</x:v>
      </x:c>
      <x:c r="U8" s="203" t="str">
        <x:v>Standard</x:v>
      </x:c>
      <x:c r="V8" s="203" t="str">
        <x:v>Standard</x:v>
      </x:c>
      <x:c r="W8" s="203" t="str">
        <x:v>Signature</x:v>
      </x:c>
      <x:c r="X8" s="205" t="str">
        <x:v>187-Monster Ability &amp; BST Design Handoff</x:v>
      </x:c>
    </x:row>
    <x:row r="9">
      <x:c r="A9" s="202" t="n">
        <x:v>7</x:v>
      </x:c>
      <x:c r="B9" s="203" t="str">
        <x:v>Ruffurn</x:v>
      </x:c>
      <x:c r="C9" s="203" t="str">
        <x:v>Fighting</x:v>
      </x:c>
      <x:c r="D9" s="203" t="str"/>
      <x:c r="E9" s="203" t="str">
        <x:v>Starter Stage 1</x:v>
      </x:c>
      <x:c r="F9" s="203" t="str">
        <x:v>Base / Early</x:v>
      </x:c>
      <x:c r="G9" s="203" t="str">
        <x:v>M-H | H | M | L | M | M</x:v>
      </x:c>
      <x:c r="H9" s="203" t="str">
        <x:v>Countercharge</x:v>
      </x:c>
      <x:c r="I9" s="203" t="str">
        <x:v>Hard Head</x:v>
      </x:c>
      <x:c r="J9" s="203" t="str">
        <x:v>Stored Charge</x:v>
      </x:c>
      <x:c r="K9" s="204" t="n">
        <x:v>60</x:v>
      </x:c>
      <x:c r="L9" s="204" t="n">
        <x:v>70</x:v>
      </x:c>
      <x:c r="M9" s="204" t="n">
        <x:v>50</x:v>
      </x:c>
      <x:c r="N9" s="204" t="n">
        <x:v>30</x:v>
      </x:c>
      <x:c r="O9" s="204" t="n">
        <x:v>50</x:v>
      </x:c>
      <x:c r="P9" s="204" t="n">
        <x:v>50</x:v>
      </x:c>
      <x:c r="Q9" s="204" t="n">
        <x:f>SUM(K9:P9)</x:f>
        <x:v>310</x:v>
      </x:c>
      <x:c r="R9" s="204" t="n">
        <x:v>310</x:v>
      </x:c>
      <x:c r="S9" s="204" t="n">
        <x:f>Q9-R9</x:f>
        <x:v>0</x:v>
      </x:c>
      <x:c r="T9" s="203" t="str">
        <x:v>Leans on Attack; gives up Sp. Atk to preserve the handoff profile M-H | H | M | L | M | M.</x:v>
      </x:c>
      <x:c r="U9" s="203" t="str">
        <x:v>Standard</x:v>
      </x:c>
      <x:c r="V9" s="203" t="str">
        <x:v>Standard</x:v>
      </x:c>
      <x:c r="W9" s="203" t="str">
        <x:v>Signature</x:v>
      </x:c>
      <x:c r="X9" s="205" t="str">
        <x:v>187-Monster Ability &amp; BST Design Handoff</x:v>
      </x:c>
    </x:row>
    <x:row r="10">
      <x:c r="A10" s="202" t="n">
        <x:v>8</x:v>
      </x:c>
      <x:c r="B10" s="203" t="str">
        <x:v>Revhound</x:v>
      </x:c>
      <x:c r="C10" s="203" t="str">
        <x:v>Fighting</x:v>
      </x:c>
      <x:c r="D10" s="203" t="str"/>
      <x:c r="E10" s="203" t="str">
        <x:v>Starter Stage 2</x:v>
      </x:c>
      <x:c r="F10" s="203" t="str">
        <x:v>Middle / Evolving</x:v>
      </x:c>
      <x:c r="G10" s="203" t="str">
        <x:v>H | H | M-H | L | M | M</x:v>
      </x:c>
      <x:c r="H10" s="203" t="str">
        <x:v>Countercharge</x:v>
      </x:c>
      <x:c r="I10" s="203" t="str">
        <x:v>Hard Head</x:v>
      </x:c>
      <x:c r="J10" s="203" t="str">
        <x:v>Stored Charge</x:v>
      </x:c>
      <x:c r="K10" s="204" t="n">
        <x:v>85</x:v>
      </x:c>
      <x:c r="L10" s="204" t="n">
        <x:v>85</x:v>
      </x:c>
      <x:c r="M10" s="204" t="n">
        <x:v>75</x:v>
      </x:c>
      <x:c r="N10" s="204" t="n">
        <x:v>40</x:v>
      </x:c>
      <x:c r="O10" s="204" t="n">
        <x:v>60</x:v>
      </x:c>
      <x:c r="P10" s="204" t="n">
        <x:v>65</x:v>
      </x:c>
      <x:c r="Q10" s="204" t="n">
        <x:f>SUM(K10:P10)</x:f>
        <x:v>410</x:v>
      </x:c>
      <x:c r="R10" s="204" t="n">
        <x:v>410</x:v>
      </x:c>
      <x:c r="S10" s="204" t="n">
        <x:f>Q10-R10</x:f>
        <x:v>0</x:v>
      </x:c>
      <x:c r="T10" s="203" t="str">
        <x:v>Leans on HP / Attack; gives up Sp. Atk to preserve the handoff profile H | H | M-H | L | M | M.</x:v>
      </x:c>
      <x:c r="U10" s="203" t="str">
        <x:v>Standard</x:v>
      </x:c>
      <x:c r="V10" s="203" t="str">
        <x:v>Standard</x:v>
      </x:c>
      <x:c r="W10" s="203" t="str">
        <x:v>Signature</x:v>
      </x:c>
      <x:c r="X10" s="205" t="str">
        <x:v>187-Monster Ability &amp; BST Design Handoff</x:v>
      </x:c>
    </x:row>
    <x:row r="11">
      <x:c r="A11" s="202" t="n">
        <x:v>9</x:v>
      </x:c>
      <x:c r="B11" s="203" t="str">
        <x:v>Revault</x:v>
      </x:c>
      <x:c r="C11" s="203" t="str">
        <x:v>Fighting</x:v>
      </x:c>
      <x:c r="D11" s="203" t="str">
        <x:v>Electric</x:v>
      </x:c>
      <x:c r="E11" s="203" t="str">
        <x:v>Starter Final</x:v>
      </x:c>
      <x:c r="F11" s="203" t="str">
        <x:v>Elite Final</x:v>
      </x:c>
      <x:c r="G11" s="203" t="str">
        <x:v>H | VH | H | L | M | M-H</x:v>
      </x:c>
      <x:c r="H11" s="203" t="str">
        <x:v>Countercharge</x:v>
      </x:c>
      <x:c r="I11" s="203" t="str">
        <x:v>Hard Head</x:v>
      </x:c>
      <x:c r="J11" s="203" t="str">
        <x:v>Stored Charge</x:v>
      </x:c>
      <x:c r="K11" s="204" t="n">
        <x:v>100</x:v>
      </x:c>
      <x:c r="L11" s="204" t="n">
        <x:v>125</x:v>
      </x:c>
      <x:c r="M11" s="204" t="n">
        <x:v>100</x:v>
      </x:c>
      <x:c r="N11" s="204" t="n">
        <x:v>45</x:v>
      </x:c>
      <x:c r="O11" s="204" t="n">
        <x:v>75</x:v>
      </x:c>
      <x:c r="P11" s="204" t="n">
        <x:v>85</x:v>
      </x:c>
      <x:c r="Q11" s="204" t="n">
        <x:f>SUM(K11:P11)</x:f>
        <x:v>530</x:v>
      </x:c>
      <x:c r="R11" s="204" t="n">
        <x:v>530</x:v>
      </x:c>
      <x:c r="S11" s="204" t="n">
        <x:f>Q11-R11</x:f>
        <x:v>0</x:v>
      </x:c>
      <x:c r="T11" s="203" t="str">
        <x:v>Leans on Attack; gives up Sp. Atk to preserve the handoff profile H | VH | H | L | M | M-H.</x:v>
      </x:c>
      <x:c r="U11" s="203" t="str">
        <x:v>Standard</x:v>
      </x:c>
      <x:c r="V11" s="203" t="str">
        <x:v>Standard</x:v>
      </x:c>
      <x:c r="W11" s="203" t="str">
        <x:v>Signature</x:v>
      </x:c>
      <x:c r="X11" s="205" t="str">
        <x:v>187-Monster Ability &amp; BST Design Handoff</x:v>
      </x:c>
    </x:row>
    <x:row r="12">
      <x:c r="A12" s="202" t="n">
        <x:v>10</x:v>
      </x:c>
      <x:c r="B12" s="203" t="str">
        <x:v>Pennkit</x:v>
      </x:c>
      <x:c r="C12" s="203" t="str">
        <x:v>Normal</x:v>
      </x:c>
      <x:c r="D12" s="203" t="str"/>
      <x:c r="E12" s="203" t="str">
        <x:v>Early Route Stage 1</x:v>
      </x:c>
      <x:c r="F12" s="203" t="str">
        <x:v>Base / Early</x:v>
      </x:c>
      <x:c r="G12" s="203" t="str">
        <x:v>L-M | M | L | L | M | H</x:v>
      </x:c>
      <x:c r="H12" s="203" t="str">
        <x:v>Wayfarer</x:v>
      </x:c>
      <x:c r="I12" s="203" t="str">
        <x:v>Foresight</x:v>
      </x:c>
      <x:c r="J12" s="203" t="str">
        <x:v>First Strike</x:v>
      </x:c>
      <x:c r="K12" s="204" t="n">
        <x:v>45</x:v>
      </x:c>
      <x:c r="L12" s="204" t="n">
        <x:v>55</x:v>
      </x:c>
      <x:c r="M12" s="204" t="n">
        <x:v>35</x:v>
      </x:c>
      <x:c r="N12" s="204" t="n">
        <x:v>35</x:v>
      </x:c>
      <x:c r="O12" s="204" t="n">
        <x:v>50</x:v>
      </x:c>
      <x:c r="P12" s="204" t="n">
        <x:v>70</x:v>
      </x:c>
      <x:c r="Q12" s="204" t="n">
        <x:f>SUM(K12:P12)</x:f>
        <x:v>290</x:v>
      </x:c>
      <x:c r="R12" s="204" t="n">
        <x:v>290</x:v>
      </x:c>
      <x:c r="S12" s="204" t="n">
        <x:f>Q12-R12</x:f>
        <x:v>0</x:v>
      </x:c>
      <x:c r="T12" s="203" t="str">
        <x:v>Leans on Speed; gives up Defense / Sp. Atk to preserve the handoff profile L-M | M | L | L | M | H.</x:v>
      </x:c>
      <x:c r="U12" s="203" t="str">
        <x:v>Standard</x:v>
      </x:c>
      <x:c r="V12" s="203" t="str">
        <x:v>Standard</x:v>
      </x:c>
      <x:c r="W12" s="203" t="str">
        <x:v>Standard</x:v>
      </x:c>
      <x:c r="X12" s="205" t="str">
        <x:v>187-Monster Ability &amp; BST Design Handoff</x:v>
      </x:c>
    </x:row>
    <x:row r="13">
      <x:c r="A13" s="202" t="n">
        <x:v>11</x:v>
      </x:c>
      <x:c r="B13" s="203" t="str">
        <x:v>Hareald</x:v>
      </x:c>
      <x:c r="C13" s="203" t="str">
        <x:v>Normal</x:v>
      </x:c>
      <x:c r="D13" s="203" t="str">
        <x:v>Fairy</x:v>
      </x:c>
      <x:c r="E13" s="203" t="str">
        <x:v>Early Route Final</x:v>
      </x:c>
      <x:c r="F13" s="203" t="str">
        <x:v>Standard Final</x:v>
      </x:c>
      <x:c r="G13" s="203" t="str">
        <x:v>M | M | L-M | M | M-H | H</x:v>
      </x:c>
      <x:c r="H13" s="203" t="str">
        <x:v>Wayfarer</x:v>
      </x:c>
      <x:c r="I13" s="203" t="str">
        <x:v>Foresight</x:v>
      </x:c>
      <x:c r="J13" s="203" t="str">
        <x:v>Rallying Cry</x:v>
      </x:c>
      <x:c r="K13" s="204" t="n">
        <x:v>70</x:v>
      </x:c>
      <x:c r="L13" s="204" t="n">
        <x:v>70</x:v>
      </x:c>
      <x:c r="M13" s="204" t="n">
        <x:v>60</x:v>
      </x:c>
      <x:c r="N13" s="204" t="n">
        <x:v>70</x:v>
      </x:c>
      <x:c r="O13" s="204" t="n">
        <x:v>80</x:v>
      </x:c>
      <x:c r="P13" s="204" t="n">
        <x:v>95</x:v>
      </x:c>
      <x:c r="Q13" s="204" t="n">
        <x:f>SUM(K13:P13)</x:f>
        <x:v>445</x:v>
      </x:c>
      <x:c r="R13" s="204" t="n">
        <x:v>445</x:v>
      </x:c>
      <x:c r="S13" s="204" t="n">
        <x:f>Q13-R13</x:f>
        <x:v>0</x:v>
      </x:c>
      <x:c r="T13" s="203" t="str">
        <x:v>Leans on Speed; gives up Defense to preserve the handoff profile M | M | L-M | M | M-H | H.</x:v>
      </x:c>
      <x:c r="U13" s="203" t="str">
        <x:v>Standard</x:v>
      </x:c>
      <x:c r="V13" s="203" t="str">
        <x:v>Standard</x:v>
      </x:c>
      <x:c r="W13" s="203" t="str">
        <x:v>Standard</x:v>
      </x:c>
      <x:c r="X13" s="205" t="str">
        <x:v>187-Monster Ability &amp; BST Design Handoff</x:v>
      </x:c>
    </x:row>
    <x:row r="14">
      <x:c r="A14" s="202" t="n">
        <x:v>12</x:v>
      </x:c>
      <x:c r="B14" s="203" t="str">
        <x:v>Tatterook</x:v>
      </x:c>
      <x:c r="C14" s="203" t="str">
        <x:v>Flying</x:v>
      </x:c>
      <x:c r="D14" s="203" t="str"/>
      <x:c r="E14" s="203" t="str">
        <x:v>Early Route Stage 1</x:v>
      </x:c>
      <x:c r="F14" s="203" t="str">
        <x:v>Base / Early</x:v>
      </x:c>
      <x:c r="G14" s="203" t="str">
        <x:v>M-L | M | L | L-M | M | H</x:v>
      </x:c>
      <x:c r="H14" s="203" t="str">
        <x:v>Scavenger</x:v>
      </x:c>
      <x:c r="I14" s="203" t="str">
        <x:v>Safekeep</x:v>
      </x:c>
      <x:c r="J14" s="203" t="str">
        <x:v>Opportunist</x:v>
      </x:c>
      <x:c r="K14" s="204" t="n">
        <x:v>40</x:v>
      </x:c>
      <x:c r="L14" s="204" t="n">
        <x:v>50</x:v>
      </x:c>
      <x:c r="M14" s="204" t="n">
        <x:v>35</x:v>
      </x:c>
      <x:c r="N14" s="204" t="n">
        <x:v>45</x:v>
      </x:c>
      <x:c r="O14" s="204" t="n">
        <x:v>50</x:v>
      </x:c>
      <x:c r="P14" s="204" t="n">
        <x:v>70</x:v>
      </x:c>
      <x:c r="Q14" s="204" t="n">
        <x:f>SUM(K14:P14)</x:f>
        <x:v>290</x:v>
      </x:c>
      <x:c r="R14" s="204" t="n">
        <x:v>290</x:v>
      </x:c>
      <x:c r="S14" s="204" t="n">
        <x:f>Q14-R14</x:f>
        <x:v>0</x:v>
      </x:c>
      <x:c r="T14" s="203" t="str">
        <x:v>Leans on Speed; gives up HP / Defense to preserve the handoff profile M-L | M | L | L-M | M | H.</x:v>
      </x:c>
      <x:c r="U14" s="203" t="str">
        <x:v>Standard</x:v>
      </x:c>
      <x:c r="V14" s="203" t="str">
        <x:v>Standard</x:v>
      </x:c>
      <x:c r="W14" s="203" t="str">
        <x:v>Standard</x:v>
      </x:c>
      <x:c r="X14" s="205" t="str">
        <x:v>187-Monster Ability &amp; BST Design Handoff</x:v>
      </x:c>
    </x:row>
    <x:row r="15">
      <x:c r="A15" s="202" t="n">
        <x:v>13</x:v>
      </x:c>
      <x:c r="B15" s="203" t="str">
        <x:v>Corvassal</x:v>
      </x:c>
      <x:c r="C15" s="203" t="str">
        <x:v>Flying</x:v>
      </x:c>
      <x:c r="D15" s="203" t="str">
        <x:v>Dark</x:v>
      </x:c>
      <x:c r="E15" s="203" t="str">
        <x:v>Early Route Final</x:v>
      </x:c>
      <x:c r="F15" s="203" t="str">
        <x:v>Standard Final</x:v>
      </x:c>
      <x:c r="G15" s="203" t="str">
        <x:v>M | H | M | M-L | M | H</x:v>
      </x:c>
      <x:c r="H15" s="203" t="str">
        <x:v>Scavenger</x:v>
      </x:c>
      <x:c r="I15" s="203" t="str">
        <x:v>Safekeep</x:v>
      </x:c>
      <x:c r="J15" s="203" t="str">
        <x:v>Opportunist</x:v>
      </x:c>
      <x:c r="K15" s="204" t="n">
        <x:v>70</x:v>
      </x:c>
      <x:c r="L15" s="204" t="n">
        <x:v>95</x:v>
      </x:c>
      <x:c r="M15" s="204" t="n">
        <x:v>70</x:v>
      </x:c>
      <x:c r="N15" s="204" t="n">
        <x:v>55</x:v>
      </x:c>
      <x:c r="O15" s="204" t="n">
        <x:v>70</x:v>
      </x:c>
      <x:c r="P15" s="204" t="n">
        <x:v>95</x:v>
      </x:c>
      <x:c r="Q15" s="204" t="n">
        <x:f>SUM(K15:P15)</x:f>
        <x:v>455</x:v>
      </x:c>
      <x:c r="R15" s="204" t="n">
        <x:v>455</x:v>
      </x:c>
      <x:c r="S15" s="204" t="n">
        <x:f>Q15-R15</x:f>
        <x:v>0</x:v>
      </x:c>
      <x:c r="T15" s="203" t="str">
        <x:v>Leans on Attack / Speed; gives up Sp. Atk to preserve the handoff profile M | H | M | M-L | M | H.</x:v>
      </x:c>
      <x:c r="U15" s="203" t="str">
        <x:v>Standard</x:v>
      </x:c>
      <x:c r="V15" s="203" t="str">
        <x:v>Standard</x:v>
      </x:c>
      <x:c r="W15" s="203" t="str">
        <x:v>Standard</x:v>
      </x:c>
      <x:c r="X15" s="205" t="str">
        <x:v>187-Monster Ability &amp; BST Design Handoff</x:v>
      </x:c>
    </x:row>
    <x:row r="16">
      <x:c r="A16" s="202" t="n">
        <x:v>14</x:v>
      </x:c>
      <x:c r="B16" s="203" t="str">
        <x:v>Mottlet</x:v>
      </x:c>
      <x:c r="C16" s="203" t="str">
        <x:v>Ground</x:v>
      </x:c>
      <x:c r="D16" s="203" t="str"/>
      <x:c r="E16" s="203" t="str">
        <x:v>Burrower Stage 1</x:v>
      </x:c>
      <x:c r="F16" s="203" t="str">
        <x:v>Base / Early</x:v>
      </x:c>
      <x:c r="G16" s="203" t="str">
        <x:v>M-H | M | H | L | M | L</x:v>
      </x:c>
      <x:c r="H16" s="203" t="str">
        <x:v>Trailblazer</x:v>
      </x:c>
      <x:c r="I16" s="203" t="str">
        <x:v>Firm Stance</x:v>
      </x:c>
      <x:c r="J16" s="203" t="str">
        <x:v>Siege Breaker</x:v>
      </x:c>
      <x:c r="K16" s="204" t="n">
        <x:v>60</x:v>
      </x:c>
      <x:c r="L16" s="204" t="n">
        <x:v>50</x:v>
      </x:c>
      <x:c r="M16" s="204" t="n">
        <x:v>70</x:v>
      </x:c>
      <x:c r="N16" s="204" t="n">
        <x:v>35</x:v>
      </x:c>
      <x:c r="O16" s="204" t="n">
        <x:v>50</x:v>
      </x:c>
      <x:c r="P16" s="204" t="n">
        <x:v>35</x:v>
      </x:c>
      <x:c r="Q16" s="204" t="n">
        <x:f>SUM(K16:P16)</x:f>
        <x:v>300</x:v>
      </x:c>
      <x:c r="R16" s="204" t="n">
        <x:v>300</x:v>
      </x:c>
      <x:c r="S16" s="204" t="n">
        <x:f>Q16-R16</x:f>
        <x:v>0</x:v>
      </x:c>
      <x:c r="T16" s="203" t="str">
        <x:v>Leans on Defense; gives up Sp. Atk / Speed to preserve the handoff profile M-H | M | H | L | M | L.</x:v>
      </x:c>
      <x:c r="U16" s="203" t="str">
        <x:v>Standard</x:v>
      </x:c>
      <x:c r="V16" s="203" t="str">
        <x:v>Standard</x:v>
      </x:c>
      <x:c r="W16" s="203" t="str">
        <x:v>Standard</x:v>
      </x:c>
      <x:c r="X16" s="205" t="str">
        <x:v>187-Monster Ability &amp; BST Design Handoff</x:v>
      </x:c>
    </x:row>
    <x:row r="17">
      <x:c r="A17" s="202" t="n">
        <x:v>15</x:v>
      </x:c>
      <x:c r="B17" s="203" t="str">
        <x:v>Bastimole</x:v>
      </x:c>
      <x:c r="C17" s="203" t="str">
        <x:v>Ground</x:v>
      </x:c>
      <x:c r="D17" s="203" t="str">
        <x:v>Rock</x:v>
      </x:c>
      <x:c r="E17" s="203" t="str">
        <x:v>Burrower Final</x:v>
      </x:c>
      <x:c r="F17" s="203" t="str">
        <x:v>Standard Final</x:v>
      </x:c>
      <x:c r="G17" s="203" t="str">
        <x:v>H | H | VH | L | M | L</x:v>
      </x:c>
      <x:c r="H17" s="203" t="str">
        <x:v>Trailblazer</x:v>
      </x:c>
      <x:c r="I17" s="203" t="str">
        <x:v>Firm Stance</x:v>
      </x:c>
      <x:c r="J17" s="203" t="str">
        <x:v>Siege Breaker</x:v>
      </x:c>
      <x:c r="K17" s="204" t="n">
        <x:v>95</x:v>
      </x:c>
      <x:c r="L17" s="204" t="n">
        <x:v>95</x:v>
      </x:c>
      <x:c r="M17" s="204" t="n">
        <x:v>120</x:v>
      </x:c>
      <x:c r="N17" s="204" t="n">
        <x:v>45</x:v>
      </x:c>
      <x:c r="O17" s="204" t="n">
        <x:v>70</x:v>
      </x:c>
      <x:c r="P17" s="204" t="n">
        <x:v>45</x:v>
      </x:c>
      <x:c r="Q17" s="204" t="n">
        <x:f>SUM(K17:P17)</x:f>
        <x:v>470</x:v>
      </x:c>
      <x:c r="R17" s="204" t="n">
        <x:v>470</x:v>
      </x:c>
      <x:c r="S17" s="204" t="n">
        <x:f>Q17-R17</x:f>
        <x:v>0</x:v>
      </x:c>
      <x:c r="T17" s="203" t="str">
        <x:v>Leans on Defense; gives up Sp. Atk / Speed to preserve the handoff profile H | H | VH | L | M | L.</x:v>
      </x:c>
      <x:c r="U17" s="203" t="str">
        <x:v>Standard</x:v>
      </x:c>
      <x:c r="V17" s="203" t="str">
        <x:v>Standard</x:v>
      </x:c>
      <x:c r="W17" s="203" t="str">
        <x:v>Standard</x:v>
      </x:c>
      <x:c r="X17" s="205" t="str">
        <x:v>187-Monster Ability &amp; BST Design Handoff</x:v>
      </x:c>
    </x:row>
    <x:row r="18">
      <x:c r="A18" s="202" t="n">
        <x:v>16</x:v>
      </x:c>
      <x:c r="B18" s="203" t="str">
        <x:v>Tokenail</x:v>
      </x:c>
      <x:c r="C18" s="203" t="str">
        <x:v>Bug</x:v>
      </x:c>
      <x:c r="D18" s="203" t="str"/>
      <x:c r="E18" s="203" t="str">
        <x:v>Hoarder Stage 1</x:v>
      </x:c>
      <x:c r="F18" s="203" t="str">
        <x:v>Base / Early</x:v>
      </x:c>
      <x:c r="G18" s="203" t="str">
        <x:v>M | L | M | L | H | VL</x:v>
      </x:c>
      <x:c r="H18" s="203" t="str">
        <x:v>Safekeep</x:v>
      </x:c>
      <x:c r="I18" s="203" t="str">
        <x:v>Berry Hoard</x:v>
      </x:c>
      <x:c r="J18" s="203" t="str">
        <x:v>Medicinal Sap</x:v>
      </x:c>
      <x:c r="K18" s="204" t="n">
        <x:v>55</x:v>
      </x:c>
      <x:c r="L18" s="204" t="n">
        <x:v>40</x:v>
      </x:c>
      <x:c r="M18" s="204" t="n">
        <x:v>55</x:v>
      </x:c>
      <x:c r="N18" s="204" t="n">
        <x:v>35</x:v>
      </x:c>
      <x:c r="O18" s="204" t="n">
        <x:v>75</x:v>
      </x:c>
      <x:c r="P18" s="204" t="n">
        <x:v>25</x:v>
      </x:c>
      <x:c r="Q18" s="204" t="n">
        <x:f>SUM(K18:P18)</x:f>
        <x:v>285</x:v>
      </x:c>
      <x:c r="R18" s="204" t="n">
        <x:v>285</x:v>
      </x:c>
      <x:c r="S18" s="204" t="n">
        <x:f>Q18-R18</x:f>
        <x:v>0</x:v>
      </x:c>
      <x:c r="T18" s="203" t="str">
        <x:v>Leans on Sp. Def; gives up Speed to preserve the handoff profile M | L | M | L | H | VL.</x:v>
      </x:c>
      <x:c r="U18" s="203" t="str">
        <x:v>Standard</x:v>
      </x:c>
      <x:c r="V18" s="203" t="str">
        <x:v>Standard</x:v>
      </x:c>
      <x:c r="W18" s="203" t="str">
        <x:v>Standard</x:v>
      </x:c>
      <x:c r="X18" s="205" t="str">
        <x:v>187-Monster Ability &amp; BST Design Handoff</x:v>
      </x:c>
    </x:row>
    <x:row r="19">
      <x:c r="A19" s="202" t="n">
        <x:v>17</x:v>
      </x:c>
      <x:c r="B19" s="203" t="str">
        <x:v>Ampullusk</x:v>
      </x:c>
      <x:c r="C19" s="203" t="str">
        <x:v>Bug</x:v>
      </x:c>
      <x:c r="D19" s="203" t="str">
        <x:v>Steel</x:v>
      </x:c>
      <x:c r="E19" s="203" t="str">
        <x:v>Hoarder Final</x:v>
      </x:c>
      <x:c r="F19" s="203" t="str">
        <x:v>Standard Final</x:v>
      </x:c>
      <x:c r="G19" s="203" t="str">
        <x:v>H | L | H | M | VH | VL</x:v>
      </x:c>
      <x:c r="H19" s="203" t="str">
        <x:v>Safekeep</x:v>
      </x:c>
      <x:c r="I19" s="203" t="str">
        <x:v>Berry Hoard</x:v>
      </x:c>
      <x:c r="J19" s="203" t="str">
        <x:v>Medicinal Sap</x:v>
      </x:c>
      <x:c r="K19" s="204" t="n">
        <x:v>100</x:v>
      </x:c>
      <x:c r="L19" s="204" t="n">
        <x:v>45</x:v>
      </x:c>
      <x:c r="M19" s="204" t="n">
        <x:v>100</x:v>
      </x:c>
      <x:c r="N19" s="204" t="n">
        <x:v>70</x:v>
      </x:c>
      <x:c r="O19" s="204" t="n">
        <x:v>120</x:v>
      </x:c>
      <x:c r="P19" s="204" t="n">
        <x:v>30</x:v>
      </x:c>
      <x:c r="Q19" s="204" t="n">
        <x:f>SUM(K19:P19)</x:f>
        <x:v>465</x:v>
      </x:c>
      <x:c r="R19" s="204" t="n">
        <x:v>465</x:v>
      </x:c>
      <x:c r="S19" s="204" t="n">
        <x:f>Q19-R19</x:f>
        <x:v>0</x:v>
      </x:c>
      <x:c r="T19" s="203" t="str">
        <x:v>Leans on Sp. Def; gives up Speed to preserve the handoff profile H | L | H | M | VH | VL.</x:v>
      </x:c>
      <x:c r="U19" s="203" t="str">
        <x:v>Standard</x:v>
      </x:c>
      <x:c r="V19" s="203" t="str">
        <x:v>Standard</x:v>
      </x:c>
      <x:c r="W19" s="203" t="str">
        <x:v>Standard</x:v>
      </x:c>
      <x:c r="X19" s="205" t="str">
        <x:v>187-Monster Ability &amp; BST Design Handoff</x:v>
      </x:c>
    </x:row>
    <x:row r="20">
      <x:c r="A20" s="202" t="n">
        <x:v>18</x:v>
      </x:c>
      <x:c r="B20" s="203" t="str">
        <x:v>Rouncolt</x:v>
      </x:c>
      <x:c r="C20" s="203" t="str">
        <x:v>Normal</x:v>
      </x:c>
      <x:c r="D20" s="203" t="str"/>
      <x:c r="E20" s="203" t="str">
        <x:v>Courier Stage 1</x:v>
      </x:c>
      <x:c r="F20" s="203" t="str">
        <x:v>Base / Early</x:v>
      </x:c>
      <x:c r="G20" s="203" t="str">
        <x:v>M | M | L-M | L | M | M-H</x:v>
      </x:c>
      <x:c r="H20" s="203" t="str">
        <x:v>Wayfarer</x:v>
      </x:c>
      <x:c r="I20" s="203" t="str">
        <x:v>Surefoot</x:v>
      </x:c>
      <x:c r="J20" s="203" t="str">
        <x:v>First Strike</x:v>
      </x:c>
      <x:c r="K20" s="204" t="n">
        <x:v>50</x:v>
      </x:c>
      <x:c r="L20" s="204" t="n">
        <x:v>55</x:v>
      </x:c>
      <x:c r="M20" s="204" t="n">
        <x:v>45</x:v>
      </x:c>
      <x:c r="N20" s="204" t="n">
        <x:v>35</x:v>
      </x:c>
      <x:c r="O20" s="204" t="n">
        <x:v>55</x:v>
      </x:c>
      <x:c r="P20" s="204" t="n">
        <x:v>60</x:v>
      </x:c>
      <x:c r="Q20" s="204" t="n">
        <x:f>SUM(K20:P20)</x:f>
        <x:v>300</x:v>
      </x:c>
      <x:c r="R20" s="204" t="n">
        <x:v>300</x:v>
      </x:c>
      <x:c r="S20" s="204" t="n">
        <x:f>Q20-R20</x:f>
        <x:v>0</x:v>
      </x:c>
      <x:c r="T20" s="203" t="str">
        <x:v>Leans on Speed / Attack; gives up Sp. Atk to preserve the handoff profile M | M | L-M | L | M | M-H.</x:v>
      </x:c>
      <x:c r="U20" s="203" t="str">
        <x:v>Standard</x:v>
      </x:c>
      <x:c r="V20" s="203" t="str">
        <x:v>Standard</x:v>
      </x:c>
      <x:c r="W20" s="203" t="str">
        <x:v>Standard</x:v>
      </x:c>
      <x:c r="X20" s="205" t="str">
        <x:v>187-Monster Ability &amp; BST Design Handoff</x:v>
      </x:c>
    </x:row>
    <x:row r="21">
      <x:c r="A21" s="202" t="n">
        <x:v>19</x:v>
      </x:c>
      <x:c r="B21" s="203" t="str">
        <x:v>Coursire</x:v>
      </x:c>
      <x:c r="C21" s="203" t="str">
        <x:v>Ground</x:v>
      </x:c>
      <x:c r="D21" s="203" t="str"/>
      <x:c r="E21" s="203" t="str">
        <x:v>Courier Stage 2</x:v>
      </x:c>
      <x:c r="F21" s="203" t="str">
        <x:v>Middle / Evolving</x:v>
      </x:c>
      <x:c r="G21" s="203" t="str">
        <x:v>M | H | M | L | M | H</x:v>
      </x:c>
      <x:c r="H21" s="203" t="str">
        <x:v>Wayfarer</x:v>
      </x:c>
      <x:c r="I21" s="203" t="str">
        <x:v>Surefoot</x:v>
      </x:c>
      <x:c r="J21" s="203" t="str">
        <x:v>First Strike</x:v>
      </x:c>
      <x:c r="K21" s="204" t="n">
        <x:v>65</x:v>
      </x:c>
      <x:c r="L21" s="204" t="n">
        <x:v>85</x:v>
      </x:c>
      <x:c r="M21" s="204" t="n">
        <x:v>65</x:v>
      </x:c>
      <x:c r="N21" s="204" t="n">
        <x:v>40</x:v>
      </x:c>
      <x:c r="O21" s="204" t="n">
        <x:v>65</x:v>
      </x:c>
      <x:c r="P21" s="204" t="n">
        <x:v>85</x:v>
      </x:c>
      <x:c r="Q21" s="204" t="n">
        <x:f>SUM(K21:P21)</x:f>
        <x:v>405</x:v>
      </x:c>
      <x:c r="R21" s="204" t="n">
        <x:v>405</x:v>
      </x:c>
      <x:c r="S21" s="204" t="n">
        <x:f>Q21-R21</x:f>
        <x:v>0</x:v>
      </x:c>
      <x:c r="T21" s="203" t="str">
        <x:v>Leans on Attack / Speed; gives up Sp. Atk to preserve the handoff profile M | H | M | L | M | H.</x:v>
      </x:c>
      <x:c r="U21" s="203" t="str">
        <x:v>Standard</x:v>
      </x:c>
      <x:c r="V21" s="203" t="str">
        <x:v>Standard</x:v>
      </x:c>
      <x:c r="W21" s="203" t="str">
        <x:v>Standard</x:v>
      </x:c>
      <x:c r="X21" s="205" t="str">
        <x:v>187-Monster Ability &amp; BST Design Handoff</x:v>
      </x:c>
    </x:row>
    <x:row r="22">
      <x:c r="A22" s="202" t="n">
        <x:v>20</x:v>
      </x:c>
      <x:c r="B22" s="203" t="str">
        <x:v>Destridon</x:v>
      </x:c>
      <x:c r="C22" s="203" t="str">
        <x:v>Ground</x:v>
      </x:c>
      <x:c r="D22" s="203" t="str">
        <x:v>Steel</x:v>
      </x:c>
      <x:c r="E22" s="203" t="str">
        <x:v>Courier Final</x:v>
      </x:c>
      <x:c r="F22" s="203" t="str">
        <x:v>Standard Final</x:v>
      </x:c>
      <x:c r="G22" s="203" t="str">
        <x:v>H | H | H | L | M-H | M</x:v>
      </x:c>
      <x:c r="H22" s="203" t="str">
        <x:v>Wayfarer</x:v>
      </x:c>
      <x:c r="I22" s="203" t="str">
        <x:v>Hard Head</x:v>
      </x:c>
      <x:c r="J22" s="203" t="str">
        <x:v>First Strike</x:v>
      </x:c>
      <x:c r="K22" s="204" t="n">
        <x:v>100</x:v>
      </x:c>
      <x:c r="L22" s="204" t="n">
        <x:v>100</x:v>
      </x:c>
      <x:c r="M22" s="204" t="n">
        <x:v>100</x:v>
      </x:c>
      <x:c r="N22" s="204" t="n">
        <x:v>50</x:v>
      </x:c>
      <x:c r="O22" s="204" t="n">
        <x:v>90</x:v>
      </x:c>
      <x:c r="P22" s="204" t="n">
        <x:v>75</x:v>
      </x:c>
      <x:c r="Q22" s="204" t="n">
        <x:f>SUM(K22:P22)</x:f>
        <x:v>515</x:v>
      </x:c>
      <x:c r="R22" s="204" t="n">
        <x:v>515</x:v>
      </x:c>
      <x:c r="S22" s="204" t="n">
        <x:f>Q22-R22</x:f>
        <x:v>0</x:v>
      </x:c>
      <x:c r="T22" s="203" t="str">
        <x:v>Leans on HP / Attack; gives up Sp. Atk to preserve the handoff profile H | H | H | L | M-H | M.</x:v>
      </x:c>
      <x:c r="U22" s="203" t="str">
        <x:v>Standard</x:v>
      </x:c>
      <x:c r="V22" s="203" t="str">
        <x:v>Standard</x:v>
      </x:c>
      <x:c r="W22" s="203" t="str">
        <x:v>Standard</x:v>
      </x:c>
      <x:c r="X22" s="205" t="str">
        <x:v>187-Monster Ability &amp; BST Design Handoff</x:v>
      </x:c>
    </x:row>
    <x:row r="23">
      <x:c r="A23" s="202" t="n">
        <x:v>21</x:v>
      </x:c>
      <x:c r="B23" s="203" t="str">
        <x:v>Keelcrab</x:v>
      </x:c>
      <x:c r="C23" s="203" t="str">
        <x:v>Water</x:v>
      </x:c>
      <x:c r="D23" s="203" t="str"/>
      <x:c r="E23" s="203" t="str">
        <x:v>Wreck Stage 1</x:v>
      </x:c>
      <x:c r="F23" s="203" t="str">
        <x:v>Base / Early</x:v>
      </x:c>
      <x:c r="G23" s="203" t="str">
        <x:v>M | M | H | L | M | L</x:v>
      </x:c>
      <x:c r="H23" s="203" t="str">
        <x:v>Stoneplate</x:v>
      </x:c>
      <x:c r="I23" s="203" t="str">
        <x:v>Safekeep</x:v>
      </x:c>
      <x:c r="J23" s="203" t="str">
        <x:v>Ghost Hull</x:v>
      </x:c>
      <x:c r="K23" s="204" t="n">
        <x:v>55</x:v>
      </x:c>
      <x:c r="L23" s="204" t="n">
        <x:v>55</x:v>
      </x:c>
      <x:c r="M23" s="204" t="n">
        <x:v>70</x:v>
      </x:c>
      <x:c r="N23" s="204" t="n">
        <x:v>35</x:v>
      </x:c>
      <x:c r="O23" s="204" t="n">
        <x:v>50</x:v>
      </x:c>
      <x:c r="P23" s="204" t="n">
        <x:v>35</x:v>
      </x:c>
      <x:c r="Q23" s="204" t="n">
        <x:f>SUM(K23:P23)</x:f>
        <x:v>300</x:v>
      </x:c>
      <x:c r="R23" s="204" t="n">
        <x:v>300</x:v>
      </x:c>
      <x:c r="S23" s="204" t="n">
        <x:f>Q23-R23</x:f>
        <x:v>0</x:v>
      </x:c>
      <x:c r="T23" s="203" t="str">
        <x:v>Leans on Defense; gives up Sp. Atk / Speed to preserve the handoff profile M | M | H | L | M | L.</x:v>
      </x:c>
      <x:c r="U23" s="203" t="str">
        <x:v>Standard</x:v>
      </x:c>
      <x:c r="V23" s="203" t="str">
        <x:v>Standard</x:v>
      </x:c>
      <x:c r="W23" s="203" t="str">
        <x:v>Rare</x:v>
      </x:c>
      <x:c r="X23" s="205" t="str">
        <x:v>187-Monster Ability &amp; BST Design Handoff</x:v>
      </x:c>
    </x:row>
    <x:row r="24">
      <x:c r="A24" s="202" t="n">
        <x:v>22</x:v>
      </x:c>
      <x:c r="B24" s="203" t="str">
        <x:v>Galleonid</x:v>
      </x:c>
      <x:c r="C24" s="203" t="str">
        <x:v>Water</x:v>
      </x:c>
      <x:c r="D24" s="203" t="str">
        <x:v>Ghost</x:v>
      </x:c>
      <x:c r="E24" s="203" t="str">
        <x:v>Wreck Final</x:v>
      </x:c>
      <x:c r="F24" s="203" t="str">
        <x:v>Standard Final</x:v>
      </x:c>
      <x:c r="G24" s="203" t="str">
        <x:v>H | H | H | M | H | L</x:v>
      </x:c>
      <x:c r="H24" s="203" t="str">
        <x:v>Stoneplate</x:v>
      </x:c>
      <x:c r="I24" s="203" t="str">
        <x:v>Safekeep</x:v>
      </x:c>
      <x:c r="J24" s="203" t="str">
        <x:v>Ghost Hull</x:v>
      </x:c>
      <x:c r="K24" s="204" t="n">
        <x:v>95</x:v>
      </x:c>
      <x:c r="L24" s="204" t="n">
        <x:v>100</x:v>
      </x:c>
      <x:c r="M24" s="204" t="n">
        <x:v>95</x:v>
      </x:c>
      <x:c r="N24" s="204" t="n">
        <x:v>70</x:v>
      </x:c>
      <x:c r="O24" s="204" t="n">
        <x:v>95</x:v>
      </x:c>
      <x:c r="P24" s="204" t="n">
        <x:v>45</x:v>
      </x:c>
      <x:c r="Q24" s="204" t="n">
        <x:f>SUM(K24:P24)</x:f>
        <x:v>500</x:v>
      </x:c>
      <x:c r="R24" s="204" t="n">
        <x:v>500</x:v>
      </x:c>
      <x:c r="S24" s="204" t="n">
        <x:f>Q24-R24</x:f>
        <x:v>0</x:v>
      </x:c>
      <x:c r="T24" s="203" t="str">
        <x:v>Leans on Attack / HP; gives up Speed to preserve the handoff profile H | H | H | M | H | L.</x:v>
      </x:c>
      <x:c r="U24" s="203" t="str">
        <x:v>Standard</x:v>
      </x:c>
      <x:c r="V24" s="203" t="str">
        <x:v>Standard</x:v>
      </x:c>
      <x:c r="W24" s="203" t="str">
        <x:v>Rare</x:v>
      </x:c>
      <x:c r="X24" s="205" t="str">
        <x:v>187-Monster Ability &amp; BST Design Handoff</x:v>
      </x:c>
    </x:row>
    <x:row r="25">
      <x:c r="A25" s="202" t="n">
        <x:v>23</x:v>
      </x:c>
      <x:c r="B25" s="203" t="str">
        <x:v>Wickmidge</x:v>
      </x:c>
      <x:c r="C25" s="203" t="str">
        <x:v>Bug</x:v>
      </x:c>
      <x:c r="D25" s="203" t="str">
        <x:v>Fire</x:v>
      </x:c>
      <x:c r="E25" s="203" t="str">
        <x:v>Night Ember Stage 1</x:v>
      </x:c>
      <x:c r="F25" s="203" t="str">
        <x:v>Base / Early</x:v>
      </x:c>
      <x:c r="G25" s="203" t="str">
        <x:v>L | L | L | H | M | H</x:v>
      </x:c>
      <x:c r="H25" s="203" t="str">
        <x:v>Cinderhide</x:v>
      </x:c>
      <x:c r="I25" s="203" t="str">
        <x:v>Feintstep</x:v>
      </x:c>
      <x:c r="J25" s="203" t="str">
        <x:v>Battle Rush</x:v>
      </x:c>
      <x:c r="K25" s="204" t="n">
        <x:v>35</x:v>
      </x:c>
      <x:c r="L25" s="204" t="n">
        <x:v>35</x:v>
      </x:c>
      <x:c r="M25" s="204" t="n">
        <x:v>35</x:v>
      </x:c>
      <x:c r="N25" s="204" t="n">
        <x:v>70</x:v>
      </x:c>
      <x:c r="O25" s="204" t="n">
        <x:v>55</x:v>
      </x:c>
      <x:c r="P25" s="204" t="n">
        <x:v>70</x:v>
      </x:c>
      <x:c r="Q25" s="204" t="n">
        <x:f>SUM(K25:P25)</x:f>
        <x:v>300</x:v>
      </x:c>
      <x:c r="R25" s="204" t="n">
        <x:v>300</x:v>
      </x:c>
      <x:c r="S25" s="204" t="n">
        <x:f>Q25-R25</x:f>
        <x:v>0</x:v>
      </x:c>
      <x:c r="T25" s="203" t="str">
        <x:v>Leans on Sp. Atk / Speed; gives up HP / Attack to preserve the handoff profile L | L | L | H | M | H.</x:v>
      </x:c>
      <x:c r="U25" s="203" t="str">
        <x:v>Standard</x:v>
      </x:c>
      <x:c r="V25" s="203" t="str">
        <x:v>Standard</x:v>
      </x:c>
      <x:c r="W25" s="203" t="str">
        <x:v>Standard</x:v>
      </x:c>
      <x:c r="X25" s="205" t="str">
        <x:v>187-Monster Ability &amp; BST Design Handoff</x:v>
      </x:c>
    </x:row>
    <x:row r="26">
      <x:c r="A26" s="202" t="n">
        <x:v>24</x:v>
      </x:c>
      <x:c r="B26" s="203" t="str">
        <x:v>Vesperyre</x:v>
      </x:c>
      <x:c r="C26" s="203" t="str">
        <x:v>Bug</x:v>
      </x:c>
      <x:c r="D26" s="203" t="str">
        <x:v>Ghost</x:v>
      </x:c>
      <x:c r="E26" s="203" t="str">
        <x:v>Night Ember Final</x:v>
      </x:c>
      <x:c r="F26" s="203" t="str">
        <x:v>Standard Final</x:v>
      </x:c>
      <x:c r="G26" s="203" t="str">
        <x:v>M | L | M-L | H | H | H</x:v>
      </x:c>
      <x:c r="H26" s="203" t="str">
        <x:v>Cinderhide</x:v>
      </x:c>
      <x:c r="I26" s="203" t="str">
        <x:v>Ambush</x:v>
      </x:c>
      <x:c r="J26" s="203" t="str">
        <x:v>Battle Rush</x:v>
      </x:c>
      <x:c r="K26" s="204" t="n">
        <x:v>75</x:v>
      </x:c>
      <x:c r="L26" s="204" t="n">
        <x:v>50</x:v>
      </x:c>
      <x:c r="M26" s="204" t="n">
        <x:v>60</x:v>
      </x:c>
      <x:c r="N26" s="204" t="n">
        <x:v>100</x:v>
      </x:c>
      <x:c r="O26" s="204" t="n">
        <x:v>100</x:v>
      </x:c>
      <x:c r="P26" s="204" t="n">
        <x:v>105</x:v>
      </x:c>
      <x:c r="Q26" s="204" t="n">
        <x:f>SUM(K26:P26)</x:f>
        <x:v>490</x:v>
      </x:c>
      <x:c r="R26" s="204" t="n">
        <x:v>490</x:v>
      </x:c>
      <x:c r="S26" s="204" t="n">
        <x:f>Q26-R26</x:f>
        <x:v>0</x:v>
      </x:c>
      <x:c r="T26" s="203" t="str">
        <x:v>Leans on Speed / Sp. Atk; gives up Attack to preserve the handoff profile M | L | M-L | H | H | H.</x:v>
      </x:c>
      <x:c r="U26" s="203" t="str">
        <x:v>Standard</x:v>
      </x:c>
      <x:c r="V26" s="203" t="str">
        <x:v>Standard</x:v>
      </x:c>
      <x:c r="W26" s="203" t="str">
        <x:v>Standard</x:v>
      </x:c>
      <x:c r="X26" s="205" t="str">
        <x:v>187-Monster Ability &amp; BST Design Handoff</x:v>
      </x:c>
    </x:row>
    <x:row r="27">
      <x:c r="A27" s="202" t="n">
        <x:v>25</x:v>
      </x:c>
      <x:c r="B27" s="203" t="str">
        <x:v>Caprune</x:v>
      </x:c>
      <x:c r="C27" s="203" t="str">
        <x:v>Rock</x:v>
      </x:c>
      <x:c r="D27" s="203" t="str"/>
      <x:c r="E27" s="203" t="str">
        <x:v>Oracle Stage 1</x:v>
      </x:c>
      <x:c r="F27" s="203" t="str">
        <x:v>Base / Early</x:v>
      </x:c>
      <x:c r="G27" s="203" t="str">
        <x:v>M | M-H | H | L | M | M-H</x:v>
      </x:c>
      <x:c r="H27" s="203" t="str">
        <x:v>Keen Sense</x:v>
      </x:c>
      <x:c r="I27" s="203" t="str">
        <x:v>Trailblazer</x:v>
      </x:c>
      <x:c r="J27" s="203" t="str">
        <x:v>Foresight</x:v>
      </x:c>
      <x:c r="K27" s="204" t="n">
        <x:v>50</x:v>
      </x:c>
      <x:c r="L27" s="204" t="n">
        <x:v>55</x:v>
      </x:c>
      <x:c r="M27" s="204" t="n">
        <x:v>65</x:v>
      </x:c>
      <x:c r="N27" s="204" t="n">
        <x:v>30</x:v>
      </x:c>
      <x:c r="O27" s="204" t="n">
        <x:v>50</x:v>
      </x:c>
      <x:c r="P27" s="204" t="n">
        <x:v>55</x:v>
      </x:c>
      <x:c r="Q27" s="204" t="n">
        <x:f>SUM(K27:P27)</x:f>
        <x:v>305</x:v>
      </x:c>
      <x:c r="R27" s="204" t="n">
        <x:v>305</x:v>
      </x:c>
      <x:c r="S27" s="204" t="n">
        <x:f>Q27-R27</x:f>
        <x:v>0</x:v>
      </x:c>
      <x:c r="T27" s="203" t="str">
        <x:v>Leans on Defense; gives up Sp. Atk to preserve the handoff profile M | M-H | H | L | M | M-H.</x:v>
      </x:c>
      <x:c r="U27" s="203" t="str">
        <x:v>Standard</x:v>
      </x:c>
      <x:c r="V27" s="203" t="str">
        <x:v>Standard</x:v>
      </x:c>
      <x:c r="W27" s="203" t="str">
        <x:v>Standard</x:v>
      </x:c>
      <x:c r="X27" s="205" t="str">
        <x:v>187-Monster Ability &amp; BST Design Handoff</x:v>
      </x:c>
    </x:row>
    <x:row r="28">
      <x:c r="A28" s="202" t="n">
        <x:v>26</x:v>
      </x:c>
      <x:c r="B28" s="203" t="str">
        <x:v>Ibracle</x:v>
      </x:c>
      <x:c r="C28" s="203" t="str">
        <x:v>Rock</x:v>
      </x:c>
      <x:c r="D28" s="203" t="str">
        <x:v>Psychic</x:v>
      </x:c>
      <x:c r="E28" s="203" t="str">
        <x:v>Oracle Final</x:v>
      </x:c>
      <x:c r="F28" s="203" t="str">
        <x:v>Standard Final</x:v>
      </x:c>
      <x:c r="G28" s="203" t="str">
        <x:v>H | H | H | M-H | H | M</x:v>
      </x:c>
      <x:c r="H28" s="203" t="str">
        <x:v>Keen Sense</x:v>
      </x:c>
      <x:c r="I28" s="203" t="str">
        <x:v>Trailblazer</x:v>
      </x:c>
      <x:c r="J28" s="203" t="str">
        <x:v>Foresight</x:v>
      </x:c>
      <x:c r="K28" s="204" t="n">
        <x:v>90</x:v>
      </x:c>
      <x:c r="L28" s="204" t="n">
        <x:v>90</x:v>
      </x:c>
      <x:c r="M28" s="204" t="n">
        <x:v>90</x:v>
      </x:c>
      <x:c r="N28" s="204" t="n">
        <x:v>80</x:v>
      </x:c>
      <x:c r="O28" s="204" t="n">
        <x:v>90</x:v>
      </x:c>
      <x:c r="P28" s="204" t="n">
        <x:v>70</x:v>
      </x:c>
      <x:c r="Q28" s="204" t="n">
        <x:f>SUM(K28:P28)</x:f>
        <x:v>510</x:v>
      </x:c>
      <x:c r="R28" s="204" t="n">
        <x:v>510</x:v>
      </x:c>
      <x:c r="S28" s="204" t="n">
        <x:f>Q28-R28</x:f>
        <x:v>0</x:v>
      </x:c>
      <x:c r="T28" s="203" t="str">
        <x:v>Leans on HP / Attack; gives up Speed to preserve the handoff profile H | H | H | M-H | H | M.</x:v>
      </x:c>
      <x:c r="U28" s="203" t="str">
        <x:v>Standard</x:v>
      </x:c>
      <x:c r="V28" s="203" t="str">
        <x:v>Standard</x:v>
      </x:c>
      <x:c r="W28" s="203" t="str">
        <x:v>Standard</x:v>
      </x:c>
      <x:c r="X28" s="205" t="str">
        <x:v>187-Monster Ability &amp; BST Design Handoff</x:v>
      </x:c>
    </x:row>
    <x:row r="29">
      <x:c r="A29" s="202" t="n">
        <x:v>27</x:v>
      </x:c>
      <x:c r="B29" s="203" t="str">
        <x:v>Snickal</x:v>
      </x:c>
      <x:c r="C29" s="203" t="str">
        <x:v>Dark</x:v>
      </x:c>
      <x:c r="D29" s="203" t="str"/>
      <x:c r="E29" s="203" t="str">
        <x:v>Scavenger Stage 1</x:v>
      </x:c>
      <x:c r="F29" s="203" t="str">
        <x:v>Base / Early</x:v>
      </x:c>
      <x:c r="G29" s="203" t="str">
        <x:v>L-M | M | L | L | M | H</x:v>
      </x:c>
      <x:c r="H29" s="203" t="str">
        <x:v>Safekeep</x:v>
      </x:c>
      <x:c r="I29" s="203" t="str">
        <x:v>Ambush</x:v>
      </x:c>
      <x:c r="J29" s="203" t="str">
        <x:v>Opportunist</x:v>
      </x:c>
      <x:c r="K29" s="204" t="n">
        <x:v>45</x:v>
      </x:c>
      <x:c r="L29" s="204" t="n">
        <x:v>55</x:v>
      </x:c>
      <x:c r="M29" s="204" t="n">
        <x:v>35</x:v>
      </x:c>
      <x:c r="N29" s="204" t="n">
        <x:v>35</x:v>
      </x:c>
      <x:c r="O29" s="204" t="n">
        <x:v>55</x:v>
      </x:c>
      <x:c r="P29" s="204" t="n">
        <x:v>70</x:v>
      </x:c>
      <x:c r="Q29" s="204" t="n">
        <x:f>SUM(K29:P29)</x:f>
        <x:v>295</x:v>
      </x:c>
      <x:c r="R29" s="204" t="n">
        <x:v>295</x:v>
      </x:c>
      <x:c r="S29" s="204" t="n">
        <x:f>Q29-R29</x:f>
        <x:v>0</x:v>
      </x:c>
      <x:c r="T29" s="203" t="str">
        <x:v>Leans on Speed; gives up Defense / Sp. Atk to preserve the handoff profile L-M | M | L | L | M | H.</x:v>
      </x:c>
      <x:c r="U29" s="203" t="str">
        <x:v>Standard</x:v>
      </x:c>
      <x:c r="V29" s="203" t="str">
        <x:v>Standard</x:v>
      </x:c>
      <x:c r="W29" s="203" t="str">
        <x:v>Standard</x:v>
      </x:c>
      <x:c r="X29" s="205" t="str">
        <x:v>187-Monster Ability &amp; BST Design Handoff</x:v>
      </x:c>
    </x:row>
    <x:row r="30">
      <x:c r="A30" s="202" t="n">
        <x:v>28</x:v>
      </x:c>
      <x:c r="B30" s="203" t="str">
        <x:v>Cackena</x:v>
      </x:c>
      <x:c r="C30" s="203" t="str">
        <x:v>Dark</x:v>
      </x:c>
      <x:c r="D30" s="203" t="str"/>
      <x:c r="E30" s="203" t="str">
        <x:v>Scavenger Stage 2</x:v>
      </x:c>
      <x:c r="F30" s="203" t="str">
        <x:v>Middle / Evolving</x:v>
      </x:c>
      <x:c r="G30" s="203" t="str">
        <x:v>M | H | M | L | M | H</x:v>
      </x:c>
      <x:c r="H30" s="203" t="str">
        <x:v>Safekeep</x:v>
      </x:c>
      <x:c r="I30" s="203" t="str">
        <x:v>Ambush</x:v>
      </x:c>
      <x:c r="J30" s="203" t="str">
        <x:v>Opportunist</x:v>
      </x:c>
      <x:c r="K30" s="204" t="n">
        <x:v>65</x:v>
      </x:c>
      <x:c r="L30" s="204" t="n">
        <x:v>85</x:v>
      </x:c>
      <x:c r="M30" s="204" t="n">
        <x:v>60</x:v>
      </x:c>
      <x:c r="N30" s="204" t="n">
        <x:v>40</x:v>
      </x:c>
      <x:c r="O30" s="204" t="n">
        <x:v>60</x:v>
      </x:c>
      <x:c r="P30" s="204" t="n">
        <x:v>85</x:v>
      </x:c>
      <x:c r="Q30" s="204" t="n">
        <x:f>SUM(K30:P30)</x:f>
        <x:v>395</x:v>
      </x:c>
      <x:c r="R30" s="204" t="n">
        <x:v>395</x:v>
      </x:c>
      <x:c r="S30" s="204" t="n">
        <x:f>Q30-R30</x:f>
        <x:v>0</x:v>
      </x:c>
      <x:c r="T30" s="203" t="str">
        <x:v>Leans on Attack / Speed; gives up Sp. Atk to preserve the handoff profile M | H | M | L | M | H.</x:v>
      </x:c>
      <x:c r="U30" s="203" t="str">
        <x:v>Standard</x:v>
      </x:c>
      <x:c r="V30" s="203" t="str">
        <x:v>Standard</x:v>
      </x:c>
      <x:c r="W30" s="203" t="str">
        <x:v>Standard</x:v>
      </x:c>
      <x:c r="X30" s="205" t="str">
        <x:v>187-Monster Ability &amp; BST Design Handoff</x:v>
      </x:c>
    </x:row>
    <x:row r="31">
      <x:c r="A31" s="202" t="n">
        <x:v>29</x:v>
      </x:c>
      <x:c r="B31" s="203" t="str">
        <x:v>Carriena</x:v>
      </x:c>
      <x:c r="C31" s="203" t="str">
        <x:v>Dark</x:v>
      </x:c>
      <x:c r="D31" s="203" t="str">
        <x:v>Ghost</x:v>
      </x:c>
      <x:c r="E31" s="203" t="str">
        <x:v>Scavenger Final</x:v>
      </x:c>
      <x:c r="F31" s="203" t="str">
        <x:v>Standard Final</x:v>
      </x:c>
      <x:c r="G31" s="203" t="str">
        <x:v>M-H | H | M | M-L | M-H | H</x:v>
      </x:c>
      <x:c r="H31" s="203" t="str">
        <x:v>Safekeep</x:v>
      </x:c>
      <x:c r="I31" s="203" t="str">
        <x:v>Opportunist</x:v>
      </x:c>
      <x:c r="J31" s="203" t="str">
        <x:v>Last Stand</x:v>
      </x:c>
      <x:c r="K31" s="204" t="n">
        <x:v>85</x:v>
      </x:c>
      <x:c r="L31" s="204" t="n">
        <x:v>100</x:v>
      </x:c>
      <x:c r="M31" s="204" t="n">
        <x:v>75</x:v>
      </x:c>
      <x:c r="N31" s="204" t="n">
        <x:v>60</x:v>
      </x:c>
      <x:c r="O31" s="204" t="n">
        <x:v>85</x:v>
      </x:c>
      <x:c r="P31" s="204" t="n">
        <x:v>100</x:v>
      </x:c>
      <x:c r="Q31" s="204" t="n">
        <x:f>SUM(K31:P31)</x:f>
        <x:v>505</x:v>
      </x:c>
      <x:c r="R31" s="204" t="n">
        <x:v>505</x:v>
      </x:c>
      <x:c r="S31" s="204" t="n">
        <x:f>Q31-R31</x:f>
        <x:v>0</x:v>
      </x:c>
      <x:c r="T31" s="203" t="str">
        <x:v>Leans on Attack / Speed; gives up Sp. Atk to preserve the handoff profile M-H | H | M | M-L | M-H | H.</x:v>
      </x:c>
      <x:c r="U31" s="203" t="str">
        <x:v>Standard</x:v>
      </x:c>
      <x:c r="V31" s="203" t="str">
        <x:v>Standard</x:v>
      </x:c>
      <x:c r="W31" s="203" t="str">
        <x:v>Rare</x:v>
      </x:c>
      <x:c r="X31" s="205" t="str">
        <x:v>187-Monster Ability &amp; BST Design Handoff</x:v>
      </x:c>
    </x:row>
    <x:row r="32">
      <x:c r="A32" s="202" t="n">
        <x:v>30</x:v>
      </x:c>
      <x:c r="B32" s="203" t="str">
        <x:v>Bantisk</x:v>
      </x:c>
      <x:c r="C32" s="203" t="str">
        <x:v>Poison</x:v>
      </x:c>
      <x:c r="D32" s="203" t="str"/>
      <x:c r="E32" s="203" t="str">
        <x:v>Gaze Stage 1</x:v>
      </x:c>
      <x:c r="F32" s="203" t="str">
        <x:v>Base / Early</x:v>
      </x:c>
      <x:c r="G32" s="203" t="str">
        <x:v>L | M | L | M | M | H</x:v>
      </x:c>
      <x:c r="H32" s="203" t="str">
        <x:v>Poison Barbs</x:v>
      </x:c>
      <x:c r="I32" s="203" t="str">
        <x:v>Keen Sense</x:v>
      </x:c>
      <x:c r="J32" s="203" t="str">
        <x:v>Surefoot</x:v>
      </x:c>
      <x:c r="K32" s="204" t="n">
        <x:v>35</x:v>
      </x:c>
      <x:c r="L32" s="204" t="n">
        <x:v>55</x:v>
      </x:c>
      <x:c r="M32" s="204" t="n">
        <x:v>35</x:v>
      </x:c>
      <x:c r="N32" s="204" t="n">
        <x:v>55</x:v>
      </x:c>
      <x:c r="O32" s="204" t="n">
        <x:v>55</x:v>
      </x:c>
      <x:c r="P32" s="204" t="n">
        <x:v>70</x:v>
      </x:c>
      <x:c r="Q32" s="204" t="n">
        <x:f>SUM(K32:P32)</x:f>
        <x:v>305</x:v>
      </x:c>
      <x:c r="R32" s="204" t="n">
        <x:v>305</x:v>
      </x:c>
      <x:c r="S32" s="204" t="n">
        <x:f>Q32-R32</x:f>
        <x:v>0</x:v>
      </x:c>
      <x:c r="T32" s="203" t="str">
        <x:v>Leans on Speed; gives up HP / Defense to preserve the handoff profile L | M | L | M | M | H.</x:v>
      </x:c>
      <x:c r="U32" s="203" t="str">
        <x:v>Standard</x:v>
      </x:c>
      <x:c r="V32" s="203" t="str">
        <x:v>Standard</x:v>
      </x:c>
      <x:c r="W32" s="203" t="str">
        <x:v>Standard</x:v>
      </x:c>
      <x:c r="X32" s="205" t="str">
        <x:v>187-Monster Ability &amp; BST Design Handoff</x:v>
      </x:c>
    </x:row>
    <x:row r="33">
      <x:c r="A33" s="202" t="n">
        <x:v>31</x:v>
      </x:c>
      <x:c r="B33" s="203" t="str">
        <x:v>Cockatrix</x:v>
      </x:c>
      <x:c r="C33" s="203" t="str">
        <x:v>Poison</x:v>
      </x:c>
      <x:c r="D33" s="203" t="str">
        <x:v>Flying</x:v>
      </x:c>
      <x:c r="E33" s="203" t="str">
        <x:v>Gaze Stage 2</x:v>
      </x:c>
      <x:c r="F33" s="203" t="str">
        <x:v>Middle / Evolving</x:v>
      </x:c>
      <x:c r="G33" s="203" t="str">
        <x:v>M | H | M-L | M-H | M | H</x:v>
      </x:c>
      <x:c r="H33" s="203" t="str">
        <x:v>Poison Barbs</x:v>
      </x:c>
      <x:c r="I33" s="203" t="str">
        <x:v>Keen Sense</x:v>
      </x:c>
      <x:c r="J33" s="203" t="str">
        <x:v>Surefoot</x:v>
      </x:c>
      <x:c r="K33" s="204" t="n">
        <x:v>60</x:v>
      </x:c>
      <x:c r="L33" s="204" t="n">
        <x:v>85</x:v>
      </x:c>
      <x:c r="M33" s="204" t="n">
        <x:v>50</x:v>
      </x:c>
      <x:c r="N33" s="204" t="n">
        <x:v>75</x:v>
      </x:c>
      <x:c r="O33" s="204" t="n">
        <x:v>65</x:v>
      </x:c>
      <x:c r="P33" s="204" t="n">
        <x:v>85</x:v>
      </x:c>
      <x:c r="Q33" s="204" t="n">
        <x:f>SUM(K33:P33)</x:f>
        <x:v>420</x:v>
      </x:c>
      <x:c r="R33" s="204" t="n">
        <x:v>420</x:v>
      </x:c>
      <x:c r="S33" s="204" t="n">
        <x:f>Q33-R33</x:f>
        <x:v>0</x:v>
      </x:c>
      <x:c r="T33" s="203" t="str">
        <x:v>Leans on Attack / Speed; gives up Defense to preserve the handoff profile M | H | M-L | M-H | M | H.</x:v>
      </x:c>
      <x:c r="U33" s="203" t="str">
        <x:v>Standard</x:v>
      </x:c>
      <x:c r="V33" s="203" t="str">
        <x:v>Standard</x:v>
      </x:c>
      <x:c r="W33" s="203" t="str">
        <x:v>Standard</x:v>
      </x:c>
      <x:c r="X33" s="205" t="str">
        <x:v>187-Monster Ability &amp; BST Design Handoff</x:v>
      </x:c>
    </x:row>
    <x:row r="34">
      <x:c r="A34" s="202" t="n">
        <x:v>32</x:v>
      </x:c>
      <x:c r="B34" s="203" t="str">
        <x:v>Regalisk</x:v>
      </x:c>
      <x:c r="C34" s="203" t="str">
        <x:v>Poison</x:v>
      </x:c>
      <x:c r="D34" s="203" t="str">
        <x:v>Dragon</x:v>
      </x:c>
      <x:c r="E34" s="203" t="str">
        <x:v>Gaze Final</x:v>
      </x:c>
      <x:c r="F34" s="203" t="str">
        <x:v>Elite Final</x:v>
      </x:c>
      <x:c r="G34" s="203" t="str">
        <x:v>M-H | H | M | H | M-H | H</x:v>
      </x:c>
      <x:c r="H34" s="203" t="str">
        <x:v>Poison Barbs</x:v>
      </x:c>
      <x:c r="I34" s="203" t="str">
        <x:v>Keen Sense</x:v>
      </x:c>
      <x:c r="J34" s="203" t="str">
        <x:v>Royal Glare</x:v>
      </x:c>
      <x:c r="K34" s="204" t="n">
        <x:v>85</x:v>
      </x:c>
      <x:c r="L34" s="204" t="n">
        <x:v>100</x:v>
      </x:c>
      <x:c r="M34" s="204" t="n">
        <x:v>70</x:v>
      </x:c>
      <x:c r="N34" s="204" t="n">
        <x:v>100</x:v>
      </x:c>
      <x:c r="O34" s="204" t="n">
        <x:v>85</x:v>
      </x:c>
      <x:c r="P34" s="204" t="n">
        <x:v>95</x:v>
      </x:c>
      <x:c r="Q34" s="204" t="n">
        <x:f>SUM(K34:P34)</x:f>
        <x:v>535</x:v>
      </x:c>
      <x:c r="R34" s="204" t="n">
        <x:v>535</x:v>
      </x:c>
      <x:c r="S34" s="204" t="n">
        <x:f>Q34-R34</x:f>
        <x:v>0</x:v>
      </x:c>
      <x:c r="T34" s="203" t="str">
        <x:v>Leans on Attack / Sp. Atk; gives up Defense to preserve the handoff profile M-H | H | M | H | M-H | H.</x:v>
      </x:c>
      <x:c r="U34" s="203" t="str">
        <x:v>Standard</x:v>
      </x:c>
      <x:c r="V34" s="203" t="str">
        <x:v>Standard</x:v>
      </x:c>
      <x:c r="W34" s="203" t="str">
        <x:v>Signature</x:v>
      </x:c>
      <x:c r="X34" s="205" t="str">
        <x:v>187-Monster Ability &amp; BST Design Handoff</x:v>
      </x:c>
    </x:row>
    <x:row r="35">
      <x:c r="A35" s="202" t="n">
        <x:v>33</x:v>
      </x:c>
      <x:c r="B35" s="203" t="str">
        <x:v>Eyret</x:v>
      </x:c>
      <x:c r="C35" s="203" t="str">
        <x:v>Flying</x:v>
      </x:c>
      <x:c r="D35" s="203" t="str"/>
      <x:c r="E35" s="203" t="str">
        <x:v>Falcon Stage 1</x:v>
      </x:c>
      <x:c r="F35" s="203" t="str">
        <x:v>Base / Early</x:v>
      </x:c>
      <x:c r="G35" s="203" t="str">
        <x:v>L-M | M-H | L | L | M | H</x:v>
      </x:c>
      <x:c r="H35" s="203" t="str">
        <x:v>Keen Sense</x:v>
      </x:c>
      <x:c r="I35" s="203" t="str">
        <x:v>Focus Edge</x:v>
      </x:c>
      <x:c r="J35" s="203" t="str">
        <x:v>First Strike</x:v>
      </x:c>
      <x:c r="K35" s="204" t="n">
        <x:v>45</x:v>
      </x:c>
      <x:c r="L35" s="204" t="n">
        <x:v>60</x:v>
      </x:c>
      <x:c r="M35" s="204" t="n">
        <x:v>35</x:v>
      </x:c>
      <x:c r="N35" s="204" t="n">
        <x:v>35</x:v>
      </x:c>
      <x:c r="O35" s="204" t="n">
        <x:v>55</x:v>
      </x:c>
      <x:c r="P35" s="204" t="n">
        <x:v>70</x:v>
      </x:c>
      <x:c r="Q35" s="204" t="n">
        <x:f>SUM(K35:P35)</x:f>
        <x:v>300</x:v>
      </x:c>
      <x:c r="R35" s="204" t="n">
        <x:v>300</x:v>
      </x:c>
      <x:c r="S35" s="204" t="n">
        <x:f>Q35-R35</x:f>
        <x:v>0</x:v>
      </x:c>
      <x:c r="T35" s="203" t="str">
        <x:v>Leans on Speed; gives up Defense / Sp. Atk to preserve the handoff profile L-M | M-H | L | L | M | H.</x:v>
      </x:c>
      <x:c r="U35" s="203" t="str">
        <x:v>Standard</x:v>
      </x:c>
      <x:c r="V35" s="203" t="str">
        <x:v>Standard</x:v>
      </x:c>
      <x:c r="W35" s="203" t="str">
        <x:v>Standard</x:v>
      </x:c>
      <x:c r="X35" s="205" t="str">
        <x:v>187-Monster Ability &amp; BST Design Handoff</x:v>
      </x:c>
    </x:row>
    <x:row r="36">
      <x:c r="A36" s="202" t="n">
        <x:v>34</x:v>
      </x:c>
      <x:c r="B36" s="203" t="str">
        <x:v>Falchawk</x:v>
      </x:c>
      <x:c r="C36" s="203" t="str">
        <x:v>Flying</x:v>
      </x:c>
      <x:c r="D36" s="203" t="str">
        <x:v>Fighting</x:v>
      </x:c>
      <x:c r="E36" s="203" t="str">
        <x:v>Falcon Final</x:v>
      </x:c>
      <x:c r="F36" s="203" t="str">
        <x:v>Standard Final</x:v>
      </x:c>
      <x:c r="G36" s="203" t="str">
        <x:v>M | H | M-L | L | M | VH</x:v>
      </x:c>
      <x:c r="H36" s="203" t="str">
        <x:v>Keen Sense</x:v>
      </x:c>
      <x:c r="I36" s="203" t="str">
        <x:v>Focus Edge</x:v>
      </x:c>
      <x:c r="J36" s="203" t="str">
        <x:v>First Strike</x:v>
      </x:c>
      <x:c r="K36" s="204" t="n">
        <x:v>75</x:v>
      </x:c>
      <x:c r="L36" s="204" t="n">
        <x:v>105</x:v>
      </x:c>
      <x:c r="M36" s="204" t="n">
        <x:v>65</x:v>
      </x:c>
      <x:c r="N36" s="204" t="n">
        <x:v>50</x:v>
      </x:c>
      <x:c r="O36" s="204" t="n">
        <x:v>75</x:v>
      </x:c>
      <x:c r="P36" s="204" t="n">
        <x:v>130</x:v>
      </x:c>
      <x:c r="Q36" s="204" t="n">
        <x:f>SUM(K36:P36)</x:f>
        <x:v>500</x:v>
      </x:c>
      <x:c r="R36" s="204" t="n">
        <x:v>500</x:v>
      </x:c>
      <x:c r="S36" s="204" t="n">
        <x:f>Q36-R36</x:f>
        <x:v>0</x:v>
      </x:c>
      <x:c r="T36" s="203" t="str">
        <x:v>Leans on Speed; gives up Sp. Atk to preserve the handoff profile M | H | M-L | L | M | VH.</x:v>
      </x:c>
      <x:c r="U36" s="203" t="str">
        <x:v>Standard</x:v>
      </x:c>
      <x:c r="V36" s="203" t="str">
        <x:v>Standard</x:v>
      </x:c>
      <x:c r="W36" s="203" t="str">
        <x:v>Standard</x:v>
      </x:c>
      <x:c r="X36" s="205" t="str">
        <x:v>187-Monster Ability &amp; BST Design Handoff</x:v>
      </x:c>
    </x:row>
    <x:row r="37">
      <x:c r="A37" s="202" t="n">
        <x:v>35</x:v>
      </x:c>
      <x:c r="B37" s="203" t="str">
        <x:v>Dromble</x:v>
      </x:c>
      <x:c r="C37" s="203" t="str">
        <x:v>Ground</x:v>
      </x:c>
      <x:c r="D37" s="203" t="str"/>
      <x:c r="E37" s="203" t="str">
        <x:v>Caravan Stage 1</x:v>
      </x:c>
      <x:c r="F37" s="203" t="str">
        <x:v>Base / Early</x:v>
      </x:c>
      <x:c r="G37" s="203" t="str">
        <x:v>H | M | M | L | M | L</x:v>
      </x:c>
      <x:c r="H37" s="203" t="str">
        <x:v>Sandcoat</x:v>
      </x:c>
      <x:c r="I37" s="203" t="str">
        <x:v>Forager</x:v>
      </x:c>
      <x:c r="J37" s="203" t="str">
        <x:v>Safekeep</x:v>
      </x:c>
      <x:c r="K37" s="204" t="n">
        <x:v>70</x:v>
      </x:c>
      <x:c r="L37" s="204" t="n">
        <x:v>55</x:v>
      </x:c>
      <x:c r="M37" s="204" t="n">
        <x:v>55</x:v>
      </x:c>
      <x:c r="N37" s="204" t="n">
        <x:v>35</x:v>
      </x:c>
      <x:c r="O37" s="204" t="n">
        <x:v>55</x:v>
      </x:c>
      <x:c r="P37" s="204" t="n">
        <x:v>35</x:v>
      </x:c>
      <x:c r="Q37" s="204" t="n">
        <x:f>SUM(K37:P37)</x:f>
        <x:v>305</x:v>
      </x:c>
      <x:c r="R37" s="204" t="n">
        <x:v>305</x:v>
      </x:c>
      <x:c r="S37" s="204" t="n">
        <x:f>Q37-R37</x:f>
        <x:v>0</x:v>
      </x:c>
      <x:c r="T37" s="203" t="str">
        <x:v>Leans on HP; gives up Sp. Atk / Speed to preserve the handoff profile H | M | M | L | M | L.</x:v>
      </x:c>
      <x:c r="U37" s="203" t="str">
        <x:v>Standard</x:v>
      </x:c>
      <x:c r="V37" s="203" t="str">
        <x:v>Standard</x:v>
      </x:c>
      <x:c r="W37" s="203" t="str">
        <x:v>Standard</x:v>
      </x:c>
      <x:c r="X37" s="205" t="str">
        <x:v>187-Monster Ability &amp; BST Design Handoff</x:v>
      </x:c>
    </x:row>
    <x:row r="38">
      <x:c r="A38" s="202" t="n">
        <x:v>36</x:v>
      </x:c>
      <x:c r="B38" s="203" t="str">
        <x:v>Caskamel</x:v>
      </x:c>
      <x:c r="C38" s="203" t="str">
        <x:v>Ground</x:v>
      </x:c>
      <x:c r="D38" s="203" t="str"/>
      <x:c r="E38" s="203" t="str">
        <x:v>Caravan Stage 2</x:v>
      </x:c>
      <x:c r="F38" s="203" t="str">
        <x:v>Middle / Evolving</x:v>
      </x:c>
      <x:c r="G38" s="203" t="str">
        <x:v>H | M-H | M | L | H | L-M</x:v>
      </x:c>
      <x:c r="H38" s="203" t="str">
        <x:v>Sandcoat</x:v>
      </x:c>
      <x:c r="I38" s="203" t="str">
        <x:v>Forager</x:v>
      </x:c>
      <x:c r="J38" s="203" t="str">
        <x:v>Safekeep</x:v>
      </x:c>
      <x:c r="K38" s="204" t="n">
        <x:v>85</x:v>
      </x:c>
      <x:c r="L38" s="204" t="n">
        <x:v>75</x:v>
      </x:c>
      <x:c r="M38" s="204" t="n">
        <x:v>65</x:v>
      </x:c>
      <x:c r="N38" s="204" t="n">
        <x:v>40</x:v>
      </x:c>
      <x:c r="O38" s="204" t="n">
        <x:v>85</x:v>
      </x:c>
      <x:c r="P38" s="204" t="n">
        <x:v>55</x:v>
      </x:c>
      <x:c r="Q38" s="204" t="n">
        <x:f>SUM(K38:P38)</x:f>
        <x:v>405</x:v>
      </x:c>
      <x:c r="R38" s="204" t="n">
        <x:v>405</x:v>
      </x:c>
      <x:c r="S38" s="204" t="n">
        <x:f>Q38-R38</x:f>
        <x:v>0</x:v>
      </x:c>
      <x:c r="T38" s="203" t="str">
        <x:v>Leans on HP / Sp. Def; gives up Sp. Atk to preserve the handoff profile H | M-H | M | L | H | L-M.</x:v>
      </x:c>
      <x:c r="U38" s="203" t="str">
        <x:v>Standard</x:v>
      </x:c>
      <x:c r="V38" s="203" t="str">
        <x:v>Standard</x:v>
      </x:c>
      <x:c r="W38" s="203" t="str">
        <x:v>Standard</x:v>
      </x:c>
      <x:c r="X38" s="205" t="str">
        <x:v>187-Monster Ability &amp; BST Design Handoff</x:v>
      </x:c>
    </x:row>
    <x:row r="39">
      <x:c r="A39" s="202" t="n">
        <x:v>37</x:v>
      </x:c>
      <x:c r="B39" s="203" t="str">
        <x:v>Cisternel</x:v>
      </x:c>
      <x:c r="C39" s="203" t="str">
        <x:v>Ground</x:v>
      </x:c>
      <x:c r="D39" s="203" t="str">
        <x:v>Water</x:v>
      </x:c>
      <x:c r="E39" s="203" t="str">
        <x:v>Caravan Final</x:v>
      </x:c>
      <x:c r="F39" s="203" t="str">
        <x:v>Standard Final</x:v>
      </x:c>
      <x:c r="G39" s="203" t="str">
        <x:v>VH | M-H | H | M | H | L</x:v>
      </x:c>
      <x:c r="H39" s="203" t="str">
        <x:v>Sandcoat</x:v>
      </x:c>
      <x:c r="I39" s="203" t="str">
        <x:v>Reservoir</x:v>
      </x:c>
      <x:c r="J39" s="203" t="str">
        <x:v>Medicinal Sap</x:v>
      </x:c>
      <x:c r="K39" s="204" t="n">
        <x:v>120</x:v>
      </x:c>
      <x:c r="L39" s="204" t="n">
        <x:v>85</x:v>
      </x:c>
      <x:c r="M39" s="204" t="n">
        <x:v>95</x:v>
      </x:c>
      <x:c r="N39" s="204" t="n">
        <x:v>70</x:v>
      </x:c>
      <x:c r="O39" s="204" t="n">
        <x:v>100</x:v>
      </x:c>
      <x:c r="P39" s="204" t="n">
        <x:v>45</x:v>
      </x:c>
      <x:c r="Q39" s="204" t="n">
        <x:f>SUM(K39:P39)</x:f>
        <x:v>515</x:v>
      </x:c>
      <x:c r="R39" s="204" t="n">
        <x:v>515</x:v>
      </x:c>
      <x:c r="S39" s="204" t="n">
        <x:f>Q39-R39</x:f>
        <x:v>0</x:v>
      </x:c>
      <x:c r="T39" s="203" t="str">
        <x:v>Leans on HP; gives up Speed to preserve the handoff profile VH | M-H | H | M | H | L.</x:v>
      </x:c>
      <x:c r="U39" s="203" t="str">
        <x:v>Standard</x:v>
      </x:c>
      <x:c r="V39" s="203" t="str">
        <x:v>Rare</x:v>
      </x:c>
      <x:c r="W39" s="203" t="str">
        <x:v>Standard</x:v>
      </x:c>
      <x:c r="X39" s="205" t="str">
        <x:v>187-Monster Ability &amp; BST Design Handoff</x:v>
      </x:c>
    </x:row>
    <x:row r="40">
      <x:c r="A40" s="202" t="n">
        <x:v>38</x:v>
      </x:c>
      <x:c r="B40" s="203" t="str">
        <x:v>Stinglet</x:v>
      </x:c>
      <x:c r="C40" s="203" t="str">
        <x:v>Poison</x:v>
      </x:c>
      <x:c r="D40" s="203" t="str"/>
      <x:c r="E40" s="203" t="str">
        <x:v>Siege Stage 1</x:v>
      </x:c>
      <x:c r="F40" s="203" t="str">
        <x:v>Base / Early</x:v>
      </x:c>
      <x:c r="G40" s="203" t="str">
        <x:v>M | H | M | L | M | L</x:v>
      </x:c>
      <x:c r="H40" s="203" t="str">
        <x:v>Poison Barbs</x:v>
      </x:c>
      <x:c r="I40" s="203" t="str">
        <x:v>Patience</x:v>
      </x:c>
      <x:c r="J40" s="203" t="str">
        <x:v>Siege Breaker</x:v>
      </x:c>
      <x:c r="K40" s="204" t="n">
        <x:v>55</x:v>
      </x:c>
      <x:c r="L40" s="204" t="n">
        <x:v>70</x:v>
      </x:c>
      <x:c r="M40" s="204" t="n">
        <x:v>55</x:v>
      </x:c>
      <x:c r="N40" s="204" t="n">
        <x:v>35</x:v>
      </x:c>
      <x:c r="O40" s="204" t="n">
        <x:v>50</x:v>
      </x:c>
      <x:c r="P40" s="204" t="n">
        <x:v>35</x:v>
      </x:c>
      <x:c r="Q40" s="204" t="n">
        <x:f>SUM(K40:P40)</x:f>
        <x:v>300</x:v>
      </x:c>
      <x:c r="R40" s="204" t="n">
        <x:v>300</x:v>
      </x:c>
      <x:c r="S40" s="204" t="n">
        <x:f>Q40-R40</x:f>
        <x:v>0</x:v>
      </x:c>
      <x:c r="T40" s="203" t="str">
        <x:v>Leans on Attack; gives up Sp. Atk / Speed to preserve the handoff profile M | H | M | L | M | L.</x:v>
      </x:c>
      <x:c r="U40" s="203" t="str">
        <x:v>Standard</x:v>
      </x:c>
      <x:c r="V40" s="203" t="str">
        <x:v>Standard</x:v>
      </x:c>
      <x:c r="W40" s="203" t="str">
        <x:v>Standard</x:v>
      </x:c>
      <x:c r="X40" s="205" t="str">
        <x:v>187-Monster Ability &amp; BST Design Handoff</x:v>
      </x:c>
    </x:row>
    <x:row r="41">
      <x:c r="A41" s="202" t="n">
        <x:v>39</x:v>
      </x:c>
      <x:c r="B41" s="203" t="str">
        <x:v>Trebuchor</x:v>
      </x:c>
      <x:c r="C41" s="203" t="str">
        <x:v>Poison</x:v>
      </x:c>
      <x:c r="D41" s="203" t="str">
        <x:v>Rock</x:v>
      </x:c>
      <x:c r="E41" s="203" t="str">
        <x:v>Siege Final</x:v>
      </x:c>
      <x:c r="F41" s="203" t="str">
        <x:v>Standard Final</x:v>
      </x:c>
      <x:c r="G41" s="203" t="str">
        <x:v>H | VH | H | L | M | L</x:v>
      </x:c>
      <x:c r="H41" s="203" t="str">
        <x:v>Poison Barbs</x:v>
      </x:c>
      <x:c r="I41" s="203" t="str">
        <x:v>Patience</x:v>
      </x:c>
      <x:c r="J41" s="203" t="str">
        <x:v>Siege Breaker</x:v>
      </x:c>
      <x:c r="K41" s="204" t="n">
        <x:v>100</x:v>
      </x:c>
      <x:c r="L41" s="204" t="n">
        <x:v>125</x:v>
      </x:c>
      <x:c r="M41" s="204" t="n">
        <x:v>100</x:v>
      </x:c>
      <x:c r="N41" s="204" t="n">
        <x:v>50</x:v>
      </x:c>
      <x:c r="O41" s="204" t="n">
        <x:v>75</x:v>
      </x:c>
      <x:c r="P41" s="204" t="n">
        <x:v>50</x:v>
      </x:c>
      <x:c r="Q41" s="204" t="n">
        <x:f>SUM(K41:P41)</x:f>
        <x:v>500</x:v>
      </x:c>
      <x:c r="R41" s="204" t="n">
        <x:v>500</x:v>
      </x:c>
      <x:c r="S41" s="204" t="n">
        <x:f>Q41-R41</x:f>
        <x:v>0</x:v>
      </x:c>
      <x:c r="T41" s="203" t="str">
        <x:v>Leans on Attack; gives up Sp. Atk / Speed to preserve the handoff profile H | VH | H | L | M | L.</x:v>
      </x:c>
      <x:c r="U41" s="203" t="str">
        <x:v>Standard</x:v>
      </x:c>
      <x:c r="V41" s="203" t="str">
        <x:v>Standard</x:v>
      </x:c>
      <x:c r="W41" s="203" t="str">
        <x:v>Standard</x:v>
      </x:c>
      <x:c r="X41" s="205" t="str">
        <x:v>187-Monster Ability &amp; BST Design Handoff</x:v>
      </x:c>
    </x:row>
    <x:row r="42">
      <x:c r="A42" s="202" t="n">
        <x:v>40</x:v>
      </x:c>
      <x:c r="B42" s="203" t="str">
        <x:v>Niblust</x:v>
      </x:c>
      <x:c r="C42" s="203" t="str">
        <x:v>Bug</x:v>
      </x:c>
      <x:c r="D42" s="203" t="str"/>
      <x:c r="E42" s="203" t="str">
        <x:v>Locust Stage 1</x:v>
      </x:c>
      <x:c r="F42" s="203" t="str">
        <x:v>Base / Early</x:v>
      </x:c>
      <x:c r="G42" s="203" t="str">
        <x:v>L | M | L | L | L-M | H</x:v>
      </x:c>
      <x:c r="H42" s="203" t="str">
        <x:v>Forager</x:v>
      </x:c>
      <x:c r="I42" s="203" t="str">
        <x:v>Ambush</x:v>
      </x:c>
      <x:c r="J42" s="203" t="str">
        <x:v>Battle Rush</x:v>
      </x:c>
      <x:c r="K42" s="204" t="n">
        <x:v>40</x:v>
      </x:c>
      <x:c r="L42" s="204" t="n">
        <x:v>55</x:v>
      </x:c>
      <x:c r="M42" s="204" t="n">
        <x:v>35</x:v>
      </x:c>
      <x:c r="N42" s="204" t="n">
        <x:v>35</x:v>
      </x:c>
      <x:c r="O42" s="204" t="n">
        <x:v>45</x:v>
      </x:c>
      <x:c r="P42" s="204" t="n">
        <x:v>75</x:v>
      </x:c>
      <x:c r="Q42" s="204" t="n">
        <x:f>SUM(K42:P42)</x:f>
        <x:v>285</x:v>
      </x:c>
      <x:c r="R42" s="204" t="n">
        <x:v>285</x:v>
      </x:c>
      <x:c r="S42" s="204" t="n">
        <x:f>Q42-R42</x:f>
        <x:v>0</x:v>
      </x:c>
      <x:c r="T42" s="203" t="str">
        <x:v>Leans on Speed; gives up HP / Defense to preserve the handoff profile L | M | L | L | L-M | H.</x:v>
      </x:c>
      <x:c r="U42" s="203" t="str">
        <x:v>Standard</x:v>
      </x:c>
      <x:c r="V42" s="203" t="str">
        <x:v>Standard</x:v>
      </x:c>
      <x:c r="W42" s="203" t="str">
        <x:v>Standard</x:v>
      </x:c>
      <x:c r="X42" s="205" t="str">
        <x:v>187-Monster Ability &amp; BST Design Handoff</x:v>
      </x:c>
    </x:row>
    <x:row r="43">
      <x:c r="A43" s="202" t="n">
        <x:v>41</x:v>
      </x:c>
      <x:c r="B43" s="203" t="str">
        <x:v>Locruin</x:v>
      </x:c>
      <x:c r="C43" s="203" t="str">
        <x:v>Bug</x:v>
      </x:c>
      <x:c r="D43" s="203" t="str">
        <x:v>Dark</x:v>
      </x:c>
      <x:c r="E43" s="203" t="str">
        <x:v>Locust Final</x:v>
      </x:c>
      <x:c r="F43" s="203" t="str">
        <x:v>Standard Final</x:v>
      </x:c>
      <x:c r="G43" s="203" t="str">
        <x:v>M-L | H | L-M | M-L | M | VH</x:v>
      </x:c>
      <x:c r="H43" s="203" t="str">
        <x:v>Forager</x:v>
      </x:c>
      <x:c r="I43" s="203" t="str">
        <x:v>Ambush</x:v>
      </x:c>
      <x:c r="J43" s="203" t="str">
        <x:v>Battle Rush</x:v>
      </x:c>
      <x:c r="K43" s="204" t="n">
        <x:v>60</x:v>
      </x:c>
      <x:c r="L43" s="204" t="n">
        <x:v>100</x:v>
      </x:c>
      <x:c r="M43" s="204" t="n">
        <x:v>60</x:v>
      </x:c>
      <x:c r="N43" s="204" t="n">
        <x:v>60</x:v>
      </x:c>
      <x:c r="O43" s="204" t="n">
        <x:v>75</x:v>
      </x:c>
      <x:c r="P43" s="204" t="n">
        <x:v>125</x:v>
      </x:c>
      <x:c r="Q43" s="204" t="n">
        <x:f>SUM(K43:P43)</x:f>
        <x:v>480</x:v>
      </x:c>
      <x:c r="R43" s="204" t="n">
        <x:v>480</x:v>
      </x:c>
      <x:c r="S43" s="204" t="n">
        <x:f>Q43-R43</x:f>
        <x:v>0</x:v>
      </x:c>
      <x:c r="T43" s="203" t="str">
        <x:v>Leans on Speed; gives up HP / Defense to preserve the handoff profile M-L | H | L-M | M-L | M | VH.</x:v>
      </x:c>
      <x:c r="U43" s="203" t="str">
        <x:v>Standard</x:v>
      </x:c>
      <x:c r="V43" s="203" t="str">
        <x:v>Standard</x:v>
      </x:c>
      <x:c r="W43" s="203" t="str">
        <x:v>Standard</x:v>
      </x:c>
      <x:c r="X43" s="205" t="str">
        <x:v>187-Monster Ability &amp; BST Design Handoff</x:v>
      </x:c>
    </x:row>
    <x:row r="44">
      <x:c r="A44" s="202" t="n">
        <x:v>42</x:v>
      </x:c>
      <x:c r="B44" s="203" t="str">
        <x:v>Sprigfawn</x:v>
      </x:c>
      <x:c r="C44" s="203" t="str">
        <x:v>Grass</x:v>
      </x:c>
      <x:c r="D44" s="203" t="str"/>
      <x:c r="E44" s="203" t="str">
        <x:v>Peace Stage 1</x:v>
      </x:c>
      <x:c r="F44" s="203" t="str">
        <x:v>Base / Early</x:v>
      </x:c>
      <x:c r="G44" s="203" t="str">
        <x:v>M | M | M-L | M | M-H | M-H</x:v>
      </x:c>
      <x:c r="H44" s="203" t="str">
        <x:v>Renewal</x:v>
      </x:c>
      <x:c r="I44" s="203" t="str">
        <x:v>Medicinal Sap</x:v>
      </x:c>
      <x:c r="J44" s="203" t="str">
        <x:v>Truce</x:v>
      </x:c>
      <x:c r="K44" s="204" t="n">
        <x:v>50</x:v>
      </x:c>
      <x:c r="L44" s="204" t="n">
        <x:v>50</x:v>
      </x:c>
      <x:c r="M44" s="204" t="n">
        <x:v>40</x:v>
      </x:c>
      <x:c r="N44" s="204" t="n">
        <x:v>50</x:v>
      </x:c>
      <x:c r="O44" s="204" t="n">
        <x:v>55</x:v>
      </x:c>
      <x:c r="P44" s="204" t="n">
        <x:v>55</x:v>
      </x:c>
      <x:c r="Q44" s="204" t="n">
        <x:f>SUM(K44:P44)</x:f>
        <x:v>300</x:v>
      </x:c>
      <x:c r="R44" s="204" t="n">
        <x:v>300</x:v>
      </x:c>
      <x:c r="S44" s="204" t="n">
        <x:f>Q44-R44</x:f>
        <x:v>0</x:v>
      </x:c>
      <x:c r="T44" s="203" t="str">
        <x:v>Leans on Sp. Def / Speed; gives up Defense to preserve the handoff profile M | M | M-L | M | M-H | M-H.</x:v>
      </x:c>
      <x:c r="U44" s="203" t="str">
        <x:v>Standard</x:v>
      </x:c>
      <x:c r="V44" s="203" t="str">
        <x:v>Standard</x:v>
      </x:c>
      <x:c r="W44" s="203" t="str">
        <x:v>Standard</x:v>
      </x:c>
      <x:c r="X44" s="205" t="str">
        <x:v>187-Monster Ability &amp; BST Design Handoff</x:v>
      </x:c>
    </x:row>
    <x:row r="45">
      <x:c r="A45" s="202" t="n">
        <x:v>43</x:v>
      </x:c>
      <x:c r="B45" s="203" t="str">
        <x:v>Olehart</x:v>
      </x:c>
      <x:c r="C45" s="203" t="str">
        <x:v>Grass</x:v>
      </x:c>
      <x:c r="D45" s="203" t="str">
        <x:v>Fairy</x:v>
      </x:c>
      <x:c r="E45" s="203" t="str">
        <x:v>Peace Final</x:v>
      </x:c>
      <x:c r="F45" s="203" t="str">
        <x:v>Standard Final</x:v>
      </x:c>
      <x:c r="G45" s="203" t="str">
        <x:v>H | M | M | H | H | M</x:v>
      </x:c>
      <x:c r="H45" s="203" t="str">
        <x:v>Renewal</x:v>
      </x:c>
      <x:c r="I45" s="203" t="str">
        <x:v>Medicinal Sap</x:v>
      </x:c>
      <x:c r="J45" s="203" t="str">
        <x:v>Truce</x:v>
      </x:c>
      <x:c r="K45" s="204" t="n">
        <x:v>95</x:v>
      </x:c>
      <x:c r="L45" s="204" t="n">
        <x:v>70</x:v>
      </x:c>
      <x:c r="M45" s="204" t="n">
        <x:v>70</x:v>
      </x:c>
      <x:c r="N45" s="204" t="n">
        <x:v>100</x:v>
      </x:c>
      <x:c r="O45" s="204" t="n">
        <x:v>100</x:v>
      </x:c>
      <x:c r="P45" s="204" t="n">
        <x:v>70</x:v>
      </x:c>
      <x:c r="Q45" s="204" t="n">
        <x:f>SUM(K45:P45)</x:f>
        <x:v>505</x:v>
      </x:c>
      <x:c r="R45" s="204" t="n">
        <x:v>505</x:v>
      </x:c>
      <x:c r="S45" s="204" t="n">
        <x:f>Q45-R45</x:f>
        <x:v>0</x:v>
      </x:c>
      <x:c r="T45" s="203" t="str">
        <x:v>Leans on Sp. Atk / Sp. Def; gives up Attack / Defense to preserve the handoff profile H | M | M | H | H | M.</x:v>
      </x:c>
      <x:c r="U45" s="203" t="str">
        <x:v>Standard</x:v>
      </x:c>
      <x:c r="V45" s="203" t="str">
        <x:v>Standard</x:v>
      </x:c>
      <x:c r="W45" s="203" t="str">
        <x:v>Standard</x:v>
      </x:c>
      <x:c r="X45" s="205" t="str">
        <x:v>187-Monster Ability &amp; BST Design Handoff</x:v>
      </x:c>
    </x:row>
    <x:row r="46">
      <x:c r="A46" s="202" t="n">
        <x:v>44</x:v>
      </x:c>
      <x:c r="B46" s="203" t="str">
        <x:v>Cubanner</x:v>
      </x:c>
      <x:c r="C46" s="203" t="str">
        <x:v>Normal</x:v>
      </x:c>
      <x:c r="D46" s="203" t="str"/>
      <x:c r="E46" s="203" t="str">
        <x:v>Lion Standard Stage 1</x:v>
      </x:c>
      <x:c r="F46" s="203" t="str">
        <x:v>Base / Early</x:v>
      </x:c>
      <x:c r="G46" s="203" t="str">
        <x:v>M | H | M | L | M | M</x:v>
      </x:c>
      <x:c r="H46" s="203" t="str">
        <x:v>Protector</x:v>
      </x:c>
      <x:c r="I46" s="203" t="str">
        <x:v>Battle Nerve</x:v>
      </x:c>
      <x:c r="J46" s="203" t="str">
        <x:v>Rallying Cry</x:v>
      </x:c>
      <x:c r="K46" s="204" t="n">
        <x:v>50</x:v>
      </x:c>
      <x:c r="L46" s="204" t="n">
        <x:v>70</x:v>
      </x:c>
      <x:c r="M46" s="204" t="n">
        <x:v>55</x:v>
      </x:c>
      <x:c r="N46" s="204" t="n">
        <x:v>35</x:v>
      </x:c>
      <x:c r="O46" s="204" t="n">
        <x:v>50</x:v>
      </x:c>
      <x:c r="P46" s="204" t="n">
        <x:v>50</x:v>
      </x:c>
      <x:c r="Q46" s="204" t="n">
        <x:f>SUM(K46:P46)</x:f>
        <x:v>310</x:v>
      </x:c>
      <x:c r="R46" s="204" t="n">
        <x:v>310</x:v>
      </x:c>
      <x:c r="S46" s="204" t="n">
        <x:f>Q46-R46</x:f>
        <x:v>0</x:v>
      </x:c>
      <x:c r="T46" s="203" t="str">
        <x:v>Leans on Attack; gives up Sp. Atk to preserve the handoff profile M | H | M | L | M | M.</x:v>
      </x:c>
      <x:c r="U46" s="203" t="str">
        <x:v>Standard</x:v>
      </x:c>
      <x:c r="V46" s="203" t="str">
        <x:v>Standard</x:v>
      </x:c>
      <x:c r="W46" s="203" t="str">
        <x:v>Standard</x:v>
      </x:c>
      <x:c r="X46" s="205" t="str">
        <x:v>187-Monster Ability &amp; BST Design Handoff</x:v>
      </x:c>
    </x:row>
    <x:row r="47">
      <x:c r="A47" s="202" t="n">
        <x:v>45</x:v>
      </x:c>
      <x:c r="B47" s="203" t="str">
        <x:v>Prideguard</x:v>
      </x:c>
      <x:c r="C47" s="203" t="str">
        <x:v>Fighting</x:v>
      </x:c>
      <x:c r="D47" s="203" t="str"/>
      <x:c r="E47" s="203" t="str">
        <x:v>Lion Standard Stage 2</x:v>
      </x:c>
      <x:c r="F47" s="203" t="str">
        <x:v>Middle / Evolving</x:v>
      </x:c>
      <x:c r="G47" s="203" t="str">
        <x:v>H | H | M-H | L | M | M</x:v>
      </x:c>
      <x:c r="H47" s="203" t="str">
        <x:v>Protector</x:v>
      </x:c>
      <x:c r="I47" s="203" t="str">
        <x:v>Battle Nerve</x:v>
      </x:c>
      <x:c r="J47" s="203" t="str">
        <x:v>Rallying Cry</x:v>
      </x:c>
      <x:c r="K47" s="204" t="n">
        <x:v>85</x:v>
      </x:c>
      <x:c r="L47" s="204" t="n">
        <x:v>90</x:v>
      </x:c>
      <x:c r="M47" s="204" t="n">
        <x:v>75</x:v>
      </x:c>
      <x:c r="N47" s="204" t="n">
        <x:v>40</x:v>
      </x:c>
      <x:c r="O47" s="204" t="n">
        <x:v>65</x:v>
      </x:c>
      <x:c r="P47" s="204" t="n">
        <x:v>65</x:v>
      </x:c>
      <x:c r="Q47" s="204" t="n">
        <x:f>SUM(K47:P47)</x:f>
        <x:v>420</x:v>
      </x:c>
      <x:c r="R47" s="204" t="n">
        <x:v>420</x:v>
      </x:c>
      <x:c r="S47" s="204" t="n">
        <x:f>Q47-R47</x:f>
        <x:v>0</x:v>
      </x:c>
      <x:c r="T47" s="203" t="str">
        <x:v>Leans on Attack / HP; gives up Sp. Atk to preserve the handoff profile H | H | M-H | L | M | M.</x:v>
      </x:c>
      <x:c r="U47" s="203" t="str">
        <x:v>Standard</x:v>
      </x:c>
      <x:c r="V47" s="203" t="str">
        <x:v>Standard</x:v>
      </x:c>
      <x:c r="W47" s="203" t="str">
        <x:v>Standard</x:v>
      </x:c>
      <x:c r="X47" s="205" t="str">
        <x:v>187-Monster Ability &amp; BST Design Handoff</x:v>
      </x:c>
    </x:row>
    <x:row r="48">
      <x:c r="A48" s="202" t="n">
        <x:v>46</x:v>
      </x:c>
      <x:c r="B48" s="203" t="str">
        <x:v>Leonarch</x:v>
      </x:c>
      <x:c r="C48" s="203" t="str">
        <x:v>Fighting</x:v>
      </x:c>
      <x:c r="D48" s="203" t="str">
        <x:v>Fairy</x:v>
      </x:c>
      <x:c r="E48" s="203" t="str">
        <x:v>Lion Standard Final</x:v>
      </x:c>
      <x:c r="F48" s="203" t="str">
        <x:v>Elite Final</x:v>
      </x:c>
      <x:c r="G48" s="203" t="str">
        <x:v>H | H | H | L-M | H | M</x:v>
      </x:c>
      <x:c r="H48" s="203" t="str">
        <x:v>Protector</x:v>
      </x:c>
      <x:c r="I48" s="203" t="str">
        <x:v>Battle Nerve</x:v>
      </x:c>
      <x:c r="J48" s="203" t="str">
        <x:v>Rallying Cry</x:v>
      </x:c>
      <x:c r="K48" s="204" t="n">
        <x:v>100</x:v>
      </x:c>
      <x:c r="L48" s="204" t="n">
        <x:v>100</x:v>
      </x:c>
      <x:c r="M48" s="204" t="n">
        <x:v>100</x:v>
      </x:c>
      <x:c r="N48" s="204" t="n">
        <x:v>60</x:v>
      </x:c>
      <x:c r="O48" s="204" t="n">
        <x:v>100</x:v>
      </x:c>
      <x:c r="P48" s="204" t="n">
        <x:v>75</x:v>
      </x:c>
      <x:c r="Q48" s="204" t="n">
        <x:f>SUM(K48:P48)</x:f>
        <x:v>535</x:v>
      </x:c>
      <x:c r="R48" s="204" t="n">
        <x:v>535</x:v>
      </x:c>
      <x:c r="S48" s="204" t="n">
        <x:f>Q48-R48</x:f>
        <x:v>0</x:v>
      </x:c>
      <x:c r="T48" s="203" t="str">
        <x:v>Leans on HP / Attack; gives up Sp. Atk to preserve the handoff profile H | H | H | L-M | H | M.</x:v>
      </x:c>
      <x:c r="U48" s="203" t="str">
        <x:v>Standard</x:v>
      </x:c>
      <x:c r="V48" s="203" t="str">
        <x:v>Standard</x:v>
      </x:c>
      <x:c r="W48" s="203" t="str">
        <x:v>Standard</x:v>
      </x:c>
      <x:c r="X48" s="205" t="str">
        <x:v>187-Monster Ability &amp; BST Design Handoff</x:v>
      </x:c>
    </x:row>
    <x:row r="49">
      <x:c r="A49" s="202" t="n">
        <x:v>47</x:v>
      </x:c>
      <x:c r="B49" s="203" t="str">
        <x:v>Rutlet</x:v>
      </x:c>
      <x:c r="C49" s="203" t="str">
        <x:v>Ground</x:v>
      </x:c>
      <x:c r="D49" s="203" t="str"/>
      <x:c r="E49" s="203" t="str">
        <x:v>Ram Stage 1</x:v>
      </x:c>
      <x:c r="F49" s="203" t="str">
        <x:v>Base / Early</x:v>
      </x:c>
      <x:c r="G49" s="203" t="str">
        <x:v>M-H | H | M | L | M | L-M</x:v>
      </x:c>
      <x:c r="H49" s="203" t="str">
        <x:v>Hard Head</x:v>
      </x:c>
      <x:c r="I49" s="203" t="str">
        <x:v>Countercharge</x:v>
      </x:c>
      <x:c r="J49" s="203" t="str">
        <x:v>Siege Breaker</x:v>
      </x:c>
      <x:c r="K49" s="204" t="n">
        <x:v>60</x:v>
      </x:c>
      <x:c r="L49" s="204" t="n">
        <x:v>70</x:v>
      </x:c>
      <x:c r="M49" s="204" t="n">
        <x:v>50</x:v>
      </x:c>
      <x:c r="N49" s="204" t="n">
        <x:v>35</x:v>
      </x:c>
      <x:c r="O49" s="204" t="n">
        <x:v>50</x:v>
      </x:c>
      <x:c r="P49" s="204" t="n">
        <x:v>40</x:v>
      </x:c>
      <x:c r="Q49" s="204" t="n">
        <x:f>SUM(K49:P49)</x:f>
        <x:v>305</x:v>
      </x:c>
      <x:c r="R49" s="204" t="n">
        <x:v>305</x:v>
      </x:c>
      <x:c r="S49" s="204" t="n">
        <x:f>Q49-R49</x:f>
        <x:v>0</x:v>
      </x:c>
      <x:c r="T49" s="203" t="str">
        <x:v>Leans on Attack; gives up Sp. Atk / Speed to preserve the handoff profile M-H | H | M | L | M | L-M.</x:v>
      </x:c>
      <x:c r="U49" s="203" t="str">
        <x:v>Standard</x:v>
      </x:c>
      <x:c r="V49" s="203" t="str">
        <x:v>Standard</x:v>
      </x:c>
      <x:c r="W49" s="203" t="str">
        <x:v>Standard</x:v>
      </x:c>
      <x:c r="X49" s="205" t="str">
        <x:v>187-Monster Ability &amp; BST Design Handoff</x:v>
      </x:c>
    </x:row>
    <x:row r="50">
      <x:c r="A50" s="202" t="n">
        <x:v>48</x:v>
      </x:c>
      <x:c r="B50" s="203" t="str">
        <x:v>Ramporque</x:v>
      </x:c>
      <x:c r="C50" s="203" t="str">
        <x:v>Ground</x:v>
      </x:c>
      <x:c r="D50" s="203" t="str">
        <x:v>Fighting</x:v>
      </x:c>
      <x:c r="E50" s="203" t="str">
        <x:v>Ram Final</x:v>
      </x:c>
      <x:c r="F50" s="203" t="str">
        <x:v>Standard Final</x:v>
      </x:c>
      <x:c r="G50" s="203" t="str">
        <x:v>H | VH | H | L | M | M-L</x:v>
      </x:c>
      <x:c r="H50" s="203" t="str">
        <x:v>Hard Head</x:v>
      </x:c>
      <x:c r="I50" s="203" t="str">
        <x:v>Countercharge</x:v>
      </x:c>
      <x:c r="J50" s="203" t="str">
        <x:v>Siege Breaker</x:v>
      </x:c>
      <x:c r="K50" s="204" t="n">
        <x:v>100</x:v>
      </x:c>
      <x:c r="L50" s="204" t="n">
        <x:v>125</x:v>
      </x:c>
      <x:c r="M50" s="204" t="n">
        <x:v>100</x:v>
      </x:c>
      <x:c r="N50" s="204" t="n">
        <x:v>45</x:v>
      </x:c>
      <x:c r="O50" s="204" t="n">
        <x:v>75</x:v>
      </x:c>
      <x:c r="P50" s="204" t="n">
        <x:v>60</x:v>
      </x:c>
      <x:c r="Q50" s="204" t="n">
        <x:f>SUM(K50:P50)</x:f>
        <x:v>505</x:v>
      </x:c>
      <x:c r="R50" s="204" t="n">
        <x:v>505</x:v>
      </x:c>
      <x:c r="S50" s="204" t="n">
        <x:f>Q50-R50</x:f>
        <x:v>0</x:v>
      </x:c>
      <x:c r="T50" s="203" t="str">
        <x:v>Leans on Attack; gives up Sp. Atk to preserve the handoff profile H | VH | H | L | M | M-L.</x:v>
      </x:c>
      <x:c r="U50" s="203" t="str">
        <x:v>Standard</x:v>
      </x:c>
      <x:c r="V50" s="203" t="str">
        <x:v>Standard</x:v>
      </x:c>
      <x:c r="W50" s="203" t="str">
        <x:v>Standard</x:v>
      </x:c>
      <x:c r="X50" s="205" t="str">
        <x:v>187-Monster Ability &amp; BST Design Handoff</x:v>
      </x:c>
    </x:row>
    <x:row r="51">
      <x:c r="A51" s="202" t="n">
        <x:v>49</x:v>
      </x:c>
      <x:c r="B51" s="203" t="str">
        <x:v>Mirascal</x:v>
      </x:c>
      <x:c r="C51" s="203" t="str">
        <x:v>Fire</x:v>
      </x:c>
      <x:c r="D51" s="203" t="str"/>
      <x:c r="E51" s="203" t="str">
        <x:v>Mirage Stage 1</x:v>
      </x:c>
      <x:c r="F51" s="203" t="str">
        <x:v>Base / Early</x:v>
      </x:c>
      <x:c r="G51" s="203" t="str">
        <x:v>L-M | L | L | H | M | H</x:v>
      </x:c>
      <x:c r="H51" s="203" t="str">
        <x:v>Keen Sense</x:v>
      </x:c>
      <x:c r="I51" s="203" t="str">
        <x:v>Sunstride</x:v>
      </x:c>
      <x:c r="J51" s="203" t="str">
        <x:v>Camouflage</x:v>
      </x:c>
      <x:c r="K51" s="204" t="n">
        <x:v>40</x:v>
      </x:c>
      <x:c r="L51" s="204" t="n">
        <x:v>35</x:v>
      </x:c>
      <x:c r="M51" s="204" t="n">
        <x:v>35</x:v>
      </x:c>
      <x:c r="N51" s="204" t="n">
        <x:v>70</x:v>
      </x:c>
      <x:c r="O51" s="204" t="n">
        <x:v>50</x:v>
      </x:c>
      <x:c r="P51" s="204" t="n">
        <x:v>70</x:v>
      </x:c>
      <x:c r="Q51" s="204" t="n">
        <x:f>SUM(K51:P51)</x:f>
        <x:v>300</x:v>
      </x:c>
      <x:c r="R51" s="204" t="n">
        <x:v>300</x:v>
      </x:c>
      <x:c r="S51" s="204" t="n">
        <x:f>Q51-R51</x:f>
        <x:v>0</x:v>
      </x:c>
      <x:c r="T51" s="203" t="str">
        <x:v>Leans on Sp. Atk / Speed; gives up HP / Attack to preserve the handoff profile L-M | L | L | H | M | H.</x:v>
      </x:c>
      <x:c r="U51" s="203" t="str">
        <x:v>Standard</x:v>
      </x:c>
      <x:c r="V51" s="203" t="str">
        <x:v>Standard</x:v>
      </x:c>
      <x:c r="W51" s="203" t="str">
        <x:v>Standard</x:v>
      </x:c>
      <x:c r="X51" s="205" t="str">
        <x:v>187-Monster Ability &amp; BST Design Handoff</x:v>
      </x:c>
    </x:row>
    <x:row r="52">
      <x:c r="A52" s="202" t="n">
        <x:v>50</x:v>
      </x:c>
      <x:c r="B52" s="203" t="str">
        <x:v>Sunscint</x:v>
      </x:c>
      <x:c r="C52" s="203" t="str">
        <x:v>Fire</x:v>
      </x:c>
      <x:c r="D52" s="203" t="str">
        <x:v>Psychic</x:v>
      </x:c>
      <x:c r="E52" s="203" t="str">
        <x:v>Mirage Final</x:v>
      </x:c>
      <x:c r="F52" s="203" t="str">
        <x:v>Standard Final</x:v>
      </x:c>
      <x:c r="G52" s="203" t="str">
        <x:v>M | L-M | M-L | VH | M-H | H</x:v>
      </x:c>
      <x:c r="H52" s="203" t="str">
        <x:v>Keen Sense</x:v>
      </x:c>
      <x:c r="I52" s="203" t="str">
        <x:v>Sunstride</x:v>
      </x:c>
      <x:c r="J52" s="203" t="str">
        <x:v>Camouflage</x:v>
      </x:c>
      <x:c r="K52" s="204" t="n">
        <x:v>75</x:v>
      </x:c>
      <x:c r="L52" s="204" t="n">
        <x:v>60</x:v>
      </x:c>
      <x:c r="M52" s="204" t="n">
        <x:v>60</x:v>
      </x:c>
      <x:c r="N52" s="204" t="n">
        <x:v>125</x:v>
      </x:c>
      <x:c r="O52" s="204" t="n">
        <x:v>90</x:v>
      </x:c>
      <x:c r="P52" s="204" t="n">
        <x:v>100</x:v>
      </x:c>
      <x:c r="Q52" s="204" t="n">
        <x:f>SUM(K52:P52)</x:f>
        <x:v>510</x:v>
      </x:c>
      <x:c r="R52" s="204" t="n">
        <x:v>510</x:v>
      </x:c>
      <x:c r="S52" s="204" t="n">
        <x:f>Q52-R52</x:f>
        <x:v>0</x:v>
      </x:c>
      <x:c r="T52" s="203" t="str">
        <x:v>Leans on Sp. Atk; gives up Attack / Defense to preserve the handoff profile M | L-M | M-L | VH | M-H | H.</x:v>
      </x:c>
      <x:c r="U52" s="203" t="str">
        <x:v>Standard</x:v>
      </x:c>
      <x:c r="V52" s="203" t="str">
        <x:v>Standard</x:v>
      </x:c>
      <x:c r="W52" s="203" t="str">
        <x:v>Standard</x:v>
      </x:c>
      <x:c r="X52" s="205" t="str">
        <x:v>187-Monster Ability &amp; BST Design Handoff</x:v>
      </x:c>
    </x:row>
    <x:row r="53">
      <x:c r="A53" s="202" t="n">
        <x:v>51</x:v>
      </x:c>
      <x:c r="B53" s="203" t="str">
        <x:v>Rillip</x:v>
      </x:c>
      <x:c r="C53" s="203" t="str">
        <x:v>Water</x:v>
      </x:c>
      <x:c r="D53" s="203" t="str"/>
      <x:c r="E53" s="203" t="str">
        <x:v>Current Stage 1</x:v>
      </x:c>
      <x:c r="F53" s="203" t="str">
        <x:v>Base / Early</x:v>
      </x:c>
      <x:c r="G53" s="203" t="str">
        <x:v>L | L | L | M-H | M | H</x:v>
      </x:c>
      <x:c r="H53" s="203" t="str">
        <x:v>Rainrunner</x:v>
      </x:c>
      <x:c r="I53" s="203" t="str">
        <x:v>Static Hide</x:v>
      </x:c>
      <x:c r="J53" s="203" t="str">
        <x:v>Alternator</x:v>
      </x:c>
      <x:c r="K53" s="204" t="n">
        <x:v>35</x:v>
      </x:c>
      <x:c r="L53" s="204" t="n">
        <x:v>35</x:v>
      </x:c>
      <x:c r="M53" s="204" t="n">
        <x:v>35</x:v>
      </x:c>
      <x:c r="N53" s="204" t="n">
        <x:v>60</x:v>
      </x:c>
      <x:c r="O53" s="204" t="n">
        <x:v>55</x:v>
      </x:c>
      <x:c r="P53" s="204" t="n">
        <x:v>70</x:v>
      </x:c>
      <x:c r="Q53" s="204" t="n">
        <x:f>SUM(K53:P53)</x:f>
        <x:v>290</x:v>
      </x:c>
      <x:c r="R53" s="204" t="n">
        <x:v>290</x:v>
      </x:c>
      <x:c r="S53" s="204" t="n">
        <x:f>Q53-R53</x:f>
        <x:v>0</x:v>
      </x:c>
      <x:c r="T53" s="203" t="str">
        <x:v>Leans on Speed; gives up HP / Attack to preserve the handoff profile L | L | L | M-H | M | H.</x:v>
      </x:c>
      <x:c r="U53" s="203" t="str">
        <x:v>Standard</x:v>
      </x:c>
      <x:c r="V53" s="203" t="str">
        <x:v>Standard</x:v>
      </x:c>
      <x:c r="W53" s="203" t="str">
        <x:v>Standard</x:v>
      </x:c>
      <x:c r="X53" s="205" t="str">
        <x:v>187-Monster Ability &amp; BST Design Handoff</x:v>
      </x:c>
    </x:row>
    <x:row r="54">
      <x:c r="A54" s="202" t="n">
        <x:v>52</x:v>
      </x:c>
      <x:c r="B54" s="203" t="str">
        <x:v>Galvaneel</x:v>
      </x:c>
      <x:c r="C54" s="203" t="str">
        <x:v>Water</x:v>
      </x:c>
      <x:c r="D54" s="203" t="str">
        <x:v>Electric</x:v>
      </x:c>
      <x:c r="E54" s="203" t="str">
        <x:v>Current Final</x:v>
      </x:c>
      <x:c r="F54" s="203" t="str">
        <x:v>Standard Final</x:v>
      </x:c>
      <x:c r="G54" s="203" t="str">
        <x:v>M | M-L | L-M | H | M | VH</x:v>
      </x:c>
      <x:c r="H54" s="203" t="str">
        <x:v>Rainrunner</x:v>
      </x:c>
      <x:c r="I54" s="203" t="str">
        <x:v>Capacitor</x:v>
      </x:c>
      <x:c r="J54" s="203" t="str">
        <x:v>Alternator</x:v>
      </x:c>
      <x:c r="K54" s="204" t="n">
        <x:v>75</x:v>
      </x:c>
      <x:c r="L54" s="204" t="n">
        <x:v>60</x:v>
      </x:c>
      <x:c r="M54" s="204" t="n">
        <x:v>60</x:v>
      </x:c>
      <x:c r="N54" s="204" t="n">
        <x:v>105</x:v>
      </x:c>
      <x:c r="O54" s="204" t="n">
        <x:v>75</x:v>
      </x:c>
      <x:c r="P54" s="204" t="n">
        <x:v>125</x:v>
      </x:c>
      <x:c r="Q54" s="204" t="n">
        <x:f>SUM(K54:P54)</x:f>
        <x:v>500</x:v>
      </x:c>
      <x:c r="R54" s="204" t="n">
        <x:v>500</x:v>
      </x:c>
      <x:c r="S54" s="204" t="n">
        <x:f>Q54-R54</x:f>
        <x:v>0</x:v>
      </x:c>
      <x:c r="T54" s="203" t="str">
        <x:v>Leans on Speed; gives up Attack / Defense to preserve the handoff profile M | M-L | L-M | H | M | VH.</x:v>
      </x:c>
      <x:c r="U54" s="203" t="str">
        <x:v>Standard</x:v>
      </x:c>
      <x:c r="V54" s="203" t="str">
        <x:v>Rare</x:v>
      </x:c>
      <x:c r="W54" s="203" t="str">
        <x:v>Standard</x:v>
      </x:c>
      <x:c r="X54" s="205" t="str">
        <x:v>187-Monster Ability &amp; BST Design Handoff</x:v>
      </x:c>
    </x:row>
    <x:row r="55">
      <x:c r="A55" s="202" t="n">
        <x:v>53</x:v>
      </x:c>
      <x:c r="B55" s="203" t="str">
        <x:v>Scripquid</x:v>
      </x:c>
      <x:c r="C55" s="203" t="str">
        <x:v>Water</x:v>
      </x:c>
      <x:c r="D55" s="203" t="str"/>
      <x:c r="E55" s="203" t="str">
        <x:v>Scribe Stage 1</x:v>
      </x:c>
      <x:c r="F55" s="203" t="str">
        <x:v>Base / Early</x:v>
      </x:c>
      <x:c r="G55" s="203" t="str">
        <x:v>M | L | M-L | H | M-H | M</x:v>
      </x:c>
      <x:c r="H55" s="203" t="str">
        <x:v>Feintstep</x:v>
      </x:c>
      <x:c r="I55" s="203" t="str">
        <x:v>Foresight</x:v>
      </x:c>
      <x:c r="J55" s="203" t="str">
        <x:v>Palimpsest</x:v>
      </x:c>
      <x:c r="K55" s="204" t="n">
        <x:v>50</x:v>
      </x:c>
      <x:c r="L55" s="204" t="n">
        <x:v>30</x:v>
      </x:c>
      <x:c r="M55" s="204" t="n">
        <x:v>40</x:v>
      </x:c>
      <x:c r="N55" s="204" t="n">
        <x:v>70</x:v>
      </x:c>
      <x:c r="O55" s="204" t="n">
        <x:v>60</x:v>
      </x:c>
      <x:c r="P55" s="204" t="n">
        <x:v>50</x:v>
      </x:c>
      <x:c r="Q55" s="204" t="n">
        <x:f>SUM(K55:P55)</x:f>
        <x:v>300</x:v>
      </x:c>
      <x:c r="R55" s="204" t="n">
        <x:v>300</x:v>
      </x:c>
      <x:c r="S55" s="204" t="n">
        <x:f>Q55-R55</x:f>
        <x:v>0</x:v>
      </x:c>
      <x:c r="T55" s="203" t="str">
        <x:v>Leans on Sp. Atk; gives up Attack to preserve the handoff profile M | L | M-L | H | M-H | M.</x:v>
      </x:c>
      <x:c r="U55" s="203" t="str">
        <x:v>Standard</x:v>
      </x:c>
      <x:c r="V55" s="203" t="str">
        <x:v>Standard</x:v>
      </x:c>
      <x:c r="W55" s="203" t="str">
        <x:v>Rare</x:v>
      </x:c>
      <x:c r="X55" s="205" t="str">
        <x:v>187-Monster Ability &amp; BST Design Handoff</x:v>
      </x:c>
    </x:row>
    <x:row r="56">
      <x:c r="A56" s="202" t="n">
        <x:v>54</x:v>
      </x:c>
      <x:c r="B56" s="203" t="str">
        <x:v>Palimopus</x:v>
      </x:c>
      <x:c r="C56" s="203" t="str">
        <x:v>Water</x:v>
      </x:c>
      <x:c r="D56" s="203" t="str">
        <x:v>Psychic</x:v>
      </x:c>
      <x:c r="E56" s="203" t="str">
        <x:v>Scribe Final</x:v>
      </x:c>
      <x:c r="F56" s="203" t="str">
        <x:v>Standard Final</x:v>
      </x:c>
      <x:c r="G56" s="203" t="str">
        <x:v>H | L | M | H | H | M</x:v>
      </x:c>
      <x:c r="H56" s="203" t="str">
        <x:v>Feintstep</x:v>
      </x:c>
      <x:c r="I56" s="203" t="str">
        <x:v>Foresight</x:v>
      </x:c>
      <x:c r="J56" s="203" t="str">
        <x:v>Palimpsest</x:v>
      </x:c>
      <x:c r="K56" s="204" t="n">
        <x:v>100</x:v>
      </x:c>
      <x:c r="L56" s="204" t="n">
        <x:v>50</x:v>
      </x:c>
      <x:c r="M56" s="204" t="n">
        <x:v>75</x:v>
      </x:c>
      <x:c r="N56" s="204" t="n">
        <x:v>105</x:v>
      </x:c>
      <x:c r="O56" s="204" t="n">
        <x:v>105</x:v>
      </x:c>
      <x:c r="P56" s="204" t="n">
        <x:v>75</x:v>
      </x:c>
      <x:c r="Q56" s="204" t="n">
        <x:f>SUM(K56:P56)</x:f>
        <x:v>510</x:v>
      </x:c>
      <x:c r="R56" s="204" t="n">
        <x:v>510</x:v>
      </x:c>
      <x:c r="S56" s="204" t="n">
        <x:f>Q56-R56</x:f>
        <x:v>0</x:v>
      </x:c>
      <x:c r="T56" s="203" t="str">
        <x:v>Leans on Sp. Atk / Sp. Def; gives up Attack to preserve the handoff profile H | L | M | H | H | M.</x:v>
      </x:c>
      <x:c r="U56" s="203" t="str">
        <x:v>Standard</x:v>
      </x:c>
      <x:c r="V56" s="203" t="str">
        <x:v>Standard</x:v>
      </x:c>
      <x:c r="W56" s="203" t="str">
        <x:v>Rare</x:v>
      </x:c>
      <x:c r="X56" s="205" t="str">
        <x:v>187-Monster Ability &amp; BST Design Handoff</x:v>
      </x:c>
    </x:row>
    <x:row r="57">
      <x:c r="A57" s="202" t="n">
        <x:v>55</x:v>
      </x:c>
      <x:c r="B57" s="203" t="str">
        <x:v>Chalkit</x:v>
      </x:c>
      <x:c r="C57" s="203" t="str">
        <x:v>Rock</x:v>
      </x:c>
      <x:c r="D57" s="203" t="str">
        <x:v>Flying</x:v>
      </x:c>
      <x:c r="E57" s="203" t="str">
        <x:v>Cliff Stage 1</x:v>
      </x:c>
      <x:c r="F57" s="203" t="str">
        <x:v>Base / Early</x:v>
      </x:c>
      <x:c r="G57" s="203" t="str">
        <x:v>M-L | M | M-H | L | M | H</x:v>
      </x:c>
      <x:c r="H57" s="203" t="str">
        <x:v>Trailblazer</x:v>
      </x:c>
      <x:c r="I57" s="203" t="str">
        <x:v>Surefoot</x:v>
      </x:c>
      <x:c r="J57" s="203" t="str">
        <x:v>Foresight</x:v>
      </x:c>
      <x:c r="K57" s="204" t="n">
        <x:v>40</x:v>
      </x:c>
      <x:c r="L57" s="204" t="n">
        <x:v>50</x:v>
      </x:c>
      <x:c r="M57" s="204" t="n">
        <x:v>60</x:v>
      </x:c>
      <x:c r="N57" s="204" t="n">
        <x:v>30</x:v>
      </x:c>
      <x:c r="O57" s="204" t="n">
        <x:v>50</x:v>
      </x:c>
      <x:c r="P57" s="204" t="n">
        <x:v>70</x:v>
      </x:c>
      <x:c r="Q57" s="204" t="n">
        <x:f>SUM(K57:P57)</x:f>
        <x:v>300</x:v>
      </x:c>
      <x:c r="R57" s="204" t="n">
        <x:v>300</x:v>
      </x:c>
      <x:c r="S57" s="204" t="n">
        <x:f>Q57-R57</x:f>
        <x:v>0</x:v>
      </x:c>
      <x:c r="T57" s="203" t="str">
        <x:v>Leans on Speed; gives up Sp. Atk to preserve the handoff profile M-L | M | M-H | L | M | H.</x:v>
      </x:c>
      <x:c r="U57" s="203" t="str">
        <x:v>Standard</x:v>
      </x:c>
      <x:c r="V57" s="203" t="str">
        <x:v>Standard</x:v>
      </x:c>
      <x:c r="W57" s="203" t="str">
        <x:v>Standard</x:v>
      </x:c>
      <x:c r="X57" s="205" t="str">
        <x:v>187-Monster Ability &amp; BST Design Handoff</x:v>
      </x:c>
    </x:row>
    <x:row r="58">
      <x:c r="A58" s="202" t="n">
        <x:v>56</x:v>
      </x:c>
      <x:c r="B58" s="203" t="str">
        <x:v>Albannor</x:v>
      </x:c>
      <x:c r="C58" s="203" t="str">
        <x:v>Rock</x:v>
      </x:c>
      <x:c r="D58" s="203" t="str">
        <x:v>Flying</x:v>
      </x:c>
      <x:c r="E58" s="203" t="str">
        <x:v>Cliff Final</x:v>
      </x:c>
      <x:c r="F58" s="203" t="str">
        <x:v>Standard Final</x:v>
      </x:c>
      <x:c r="G58" s="203" t="str">
        <x:v>M | M-H | H | M-L | M | H</x:v>
      </x:c>
      <x:c r="H58" s="203" t="str">
        <x:v>Trailblazer</x:v>
      </x:c>
      <x:c r="I58" s="203" t="str">
        <x:v>Surefoot</x:v>
      </x:c>
      <x:c r="J58" s="203" t="str">
        <x:v>Stormsense</x:v>
      </x:c>
      <x:c r="K58" s="204" t="n">
        <x:v>75</x:v>
      </x:c>
      <x:c r="L58" s="204" t="n">
        <x:v>85</x:v>
      </x:c>
      <x:c r="M58" s="204" t="n">
        <x:v>100</x:v>
      </x:c>
      <x:c r="N58" s="204" t="n">
        <x:v>60</x:v>
      </x:c>
      <x:c r="O58" s="204" t="n">
        <x:v>70</x:v>
      </x:c>
      <x:c r="P58" s="204" t="n">
        <x:v>100</x:v>
      </x:c>
      <x:c r="Q58" s="204" t="n">
        <x:f>SUM(K58:P58)</x:f>
        <x:v>490</x:v>
      </x:c>
      <x:c r="R58" s="204" t="n">
        <x:v>490</x:v>
      </x:c>
      <x:c r="S58" s="204" t="n">
        <x:f>Q58-R58</x:f>
        <x:v>0</x:v>
      </x:c>
      <x:c r="T58" s="203" t="str">
        <x:v>Leans on Defense / Speed; gives up Sp. Atk to preserve the handoff profile M | M-H | H | M-L | M | H.</x:v>
      </x:c>
      <x:c r="U58" s="203" t="str">
        <x:v>Standard</x:v>
      </x:c>
      <x:c r="V58" s="203" t="str">
        <x:v>Standard</x:v>
      </x:c>
      <x:c r="W58" s="203" t="str">
        <x:v>Standard</x:v>
      </x:c>
      <x:c r="X58" s="205" t="str">
        <x:v>187-Monster Ability &amp; BST Design Handoff</x:v>
      </x:c>
    </x:row>
    <x:row r="59">
      <x:c r="A59" s="202" t="n">
        <x:v>57</x:v>
      </x:c>
      <x:c r="B59" s="203" t="str">
        <x:v>Censmoke</x:v>
      </x:c>
      <x:c r="C59" s="203" t="str">
        <x:v>Fire</x:v>
      </x:c>
      <x:c r="D59" s="203" t="str"/>
      <x:c r="E59" s="203" t="str">
        <x:v>Smoke Split Base</x:v>
      </x:c>
      <x:c r="F59" s="203" t="str">
        <x:v>Base / Early</x:v>
      </x:c>
      <x:c r="G59" s="203" t="str">
        <x:v>M | L | M-L | H | M | M</x:v>
      </x:c>
      <x:c r="H59" s="203" t="str">
        <x:v>Renewal</x:v>
      </x:c>
      <x:c r="I59" s="203" t="str">
        <x:v>Cinderhide</x:v>
      </x:c>
      <x:c r="J59" s="203" t="str">
        <x:v>Camouflage</x:v>
      </x:c>
      <x:c r="K59" s="204" t="n">
        <x:v>55</x:v>
      </x:c>
      <x:c r="L59" s="204" t="n">
        <x:v>35</x:v>
      </x:c>
      <x:c r="M59" s="204" t="n">
        <x:v>45</x:v>
      </x:c>
      <x:c r="N59" s="204" t="n">
        <x:v>70</x:v>
      </x:c>
      <x:c r="O59" s="204" t="n">
        <x:v>50</x:v>
      </x:c>
      <x:c r="P59" s="204" t="n">
        <x:v>50</x:v>
      </x:c>
      <x:c r="Q59" s="204" t="n">
        <x:f>SUM(K59:P59)</x:f>
        <x:v>305</x:v>
      </x:c>
      <x:c r="R59" s="204" t="n">
        <x:v>305</x:v>
      </x:c>
      <x:c r="S59" s="204" t="n">
        <x:f>Q59-R59</x:f>
        <x:v>0</x:v>
      </x:c>
      <x:c r="T59" s="203" t="str">
        <x:v>Leans on Sp. Atk; gives up Attack to preserve the handoff profile M | L | M-L | H | M | M.</x:v>
      </x:c>
      <x:c r="U59" s="203" t="str">
        <x:v>Standard</x:v>
      </x:c>
      <x:c r="V59" s="203" t="str">
        <x:v>Standard</x:v>
      </x:c>
      <x:c r="W59" s="203" t="str">
        <x:v>Standard</x:v>
      </x:c>
      <x:c r="X59" s="205" t="str">
        <x:v>187-Monster Ability &amp; BST Design Handoff</x:v>
      </x:c>
    </x:row>
    <x:row r="60">
      <x:c r="A60" s="202" t="n">
        <x:v>58</x:v>
      </x:c>
      <x:c r="B60" s="203" t="str">
        <x:v>Thurafume</x:v>
      </x:c>
      <x:c r="C60" s="203" t="str">
        <x:v>Fire</x:v>
      </x:c>
      <x:c r="D60" s="203" t="str">
        <x:v>Fairy</x:v>
      </x:c>
      <x:c r="E60" s="203" t="str">
        <x:v>Purifying Split Final</x:v>
      </x:c>
      <x:c r="F60" s="203" t="str">
        <x:v>Standard Final</x:v>
      </x:c>
      <x:c r="G60" s="203" t="str">
        <x:v>M-H | L | M | H | H | M</x:v>
      </x:c>
      <x:c r="H60" s="203" t="str">
        <x:v>Renewal</x:v>
      </x:c>
      <x:c r="I60" s="203" t="str">
        <x:v>Medicinal Sap</x:v>
      </x:c>
      <x:c r="J60" s="203" t="str">
        <x:v>Truce</x:v>
      </x:c>
      <x:c r="K60" s="204" t="n">
        <x:v>90</x:v>
      </x:c>
      <x:c r="L60" s="204" t="n">
        <x:v>50</x:v>
      </x:c>
      <x:c r="M60" s="204" t="n">
        <x:v>75</x:v>
      </x:c>
      <x:c r="N60" s="204" t="n">
        <x:v>105</x:v>
      </x:c>
      <x:c r="O60" s="204" t="n">
        <x:v>105</x:v>
      </x:c>
      <x:c r="P60" s="204" t="n">
        <x:v>75</x:v>
      </x:c>
      <x:c r="Q60" s="204" t="n">
        <x:f>SUM(K60:P60)</x:f>
        <x:v>500</x:v>
      </x:c>
      <x:c r="R60" s="204" t="n">
        <x:v>500</x:v>
      </x:c>
      <x:c r="S60" s="204" t="n">
        <x:f>Q60-R60</x:f>
        <x:v>0</x:v>
      </x:c>
      <x:c r="T60" s="203" t="str">
        <x:v>Leans on Sp. Atk / Sp. Def; gives up Attack to preserve the handoff profile M-H | L | M | H | H | M.</x:v>
      </x:c>
      <x:c r="U60" s="203" t="str">
        <x:v>Standard</x:v>
      </x:c>
      <x:c r="V60" s="203" t="str">
        <x:v>Standard</x:v>
      </x:c>
      <x:c r="W60" s="203" t="str">
        <x:v>Standard</x:v>
      </x:c>
      <x:c r="X60" s="205" t="str">
        <x:v>187-Monster Ability &amp; BST Design Handoff</x:v>
      </x:c>
    </x:row>
    <x:row r="61">
      <x:c r="A61" s="202" t="n">
        <x:v>59</x:v>
      </x:c>
      <x:c r="B61" s="203" t="str">
        <x:v>Malifume</x:v>
      </x:c>
      <x:c r="C61" s="203" t="str">
        <x:v>Fire</x:v>
      </x:c>
      <x:c r="D61" s="203" t="str">
        <x:v>Dark</x:v>
      </x:c>
      <x:c r="E61" s="203" t="str">
        <x:v>Corrupt Split Final</x:v>
      </x:c>
      <x:c r="F61" s="203" t="str">
        <x:v>Standard Final</x:v>
      </x:c>
      <x:c r="G61" s="203" t="str">
        <x:v>M | L-M | M | H | M | H</x:v>
      </x:c>
      <x:c r="H61" s="203" t="str">
        <x:v>Cinderhide</x:v>
      </x:c>
      <x:c r="I61" s="203" t="str">
        <x:v>Ambush</x:v>
      </x:c>
      <x:c r="J61" s="203" t="str">
        <x:v>Opportunist</x:v>
      </x:c>
      <x:c r="K61" s="204" t="n">
        <x:v>75</x:v>
      </x:c>
      <x:c r="L61" s="204" t="n">
        <x:v>65</x:v>
      </x:c>
      <x:c r="M61" s="204" t="n">
        <x:v>75</x:v>
      </x:c>
      <x:c r="N61" s="204" t="n">
        <x:v>105</x:v>
      </x:c>
      <x:c r="O61" s="204" t="n">
        <x:v>75</x:v>
      </x:c>
      <x:c r="P61" s="204" t="n">
        <x:v>105</x:v>
      </x:c>
      <x:c r="Q61" s="204" t="n">
        <x:f>SUM(K61:P61)</x:f>
        <x:v>500</x:v>
      </x:c>
      <x:c r="R61" s="204" t="n">
        <x:v>500</x:v>
      </x:c>
      <x:c r="S61" s="204" t="n">
        <x:f>Q61-R61</x:f>
        <x:v>0</x:v>
      </x:c>
      <x:c r="T61" s="203" t="str">
        <x:v>Leans on Sp. Atk / Speed; gives up Attack to preserve the handoff profile M | L-M | M | H | M | H.</x:v>
      </x:c>
      <x:c r="U61" s="203" t="str">
        <x:v>Standard</x:v>
      </x:c>
      <x:c r="V61" s="203" t="str">
        <x:v>Standard</x:v>
      </x:c>
      <x:c r="W61" s="203" t="str">
        <x:v>Standard</x:v>
      </x:c>
      <x:c r="X61" s="205" t="str">
        <x:v>187-Monster Ability &amp; BST Design Handoff</x:v>
      </x:c>
    </x:row>
    <x:row r="62">
      <x:c r="A62" s="202" t="n">
        <x:v>60</x:v>
      </x:c>
      <x:c r="B62" s="203" t="str">
        <x:v>Pomling</x:v>
      </x:c>
      <x:c r="C62" s="203" t="str">
        <x:v>Grass</x:v>
      </x:c>
      <x:c r="D62" s="203" t="str"/>
      <x:c r="E62" s="203" t="str">
        <x:v>Orchard Stage 1</x:v>
      </x:c>
      <x:c r="F62" s="203" t="str">
        <x:v>Base / Early</x:v>
      </x:c>
      <x:c r="G62" s="203" t="str">
        <x:v>L-M | M | L | M | M | H</x:v>
      </x:c>
      <x:c r="H62" s="203" t="str">
        <x:v>Forager</x:v>
      </x:c>
      <x:c r="I62" s="203" t="str">
        <x:v>Renewal</x:v>
      </x:c>
      <x:c r="J62" s="203" t="str">
        <x:v>Truce</x:v>
      </x:c>
      <x:c r="K62" s="204" t="n">
        <x:v>40</x:v>
      </x:c>
      <x:c r="L62" s="204" t="n">
        <x:v>50</x:v>
      </x:c>
      <x:c r="M62" s="204" t="n">
        <x:v>35</x:v>
      </x:c>
      <x:c r="N62" s="204" t="n">
        <x:v>50</x:v>
      </x:c>
      <x:c r="O62" s="204" t="n">
        <x:v>50</x:v>
      </x:c>
      <x:c r="P62" s="204" t="n">
        <x:v>70</x:v>
      </x:c>
      <x:c r="Q62" s="204" t="n">
        <x:f>SUM(K62:P62)</x:f>
        <x:v>295</x:v>
      </x:c>
      <x:c r="R62" s="204" t="n">
        <x:v>295</x:v>
      </x:c>
      <x:c r="S62" s="204" t="n">
        <x:f>Q62-R62</x:f>
        <x:v>0</x:v>
      </x:c>
      <x:c r="T62" s="203" t="str">
        <x:v>Leans on Speed; gives up HP / Defense to preserve the handoff profile L-M | M | L | M | M | H.</x:v>
      </x:c>
      <x:c r="U62" s="203" t="str">
        <x:v>Standard</x:v>
      </x:c>
      <x:c r="V62" s="203" t="str">
        <x:v>Standard</x:v>
      </x:c>
      <x:c r="W62" s="203" t="str">
        <x:v>Standard</x:v>
      </x:c>
      <x:c r="X62" s="205" t="str">
        <x:v>187-Monster Ability &amp; BST Design Handoff</x:v>
      </x:c>
    </x:row>
    <x:row r="63">
      <x:c r="A63" s="202" t="n">
        <x:v>61</x:v>
      </x:c>
      <x:c r="B63" s="203" t="str">
        <x:v>Granadove</x:v>
      </x:c>
      <x:c r="C63" s="203" t="str">
        <x:v>Grass</x:v>
      </x:c>
      <x:c r="D63" s="203" t="str">
        <x:v>Flying</x:v>
      </x:c>
      <x:c r="E63" s="203" t="str">
        <x:v>Orchard Final</x:v>
      </x:c>
      <x:c r="F63" s="203" t="str">
        <x:v>Standard Final</x:v>
      </x:c>
      <x:c r="G63" s="203" t="str">
        <x:v>M | M | M-L | M-H | H | H</x:v>
      </x:c>
      <x:c r="H63" s="203" t="str">
        <x:v>Forager</x:v>
      </x:c>
      <x:c r="I63" s="203" t="str">
        <x:v>Renewal</x:v>
      </x:c>
      <x:c r="J63" s="203" t="str">
        <x:v>Truce</x:v>
      </x:c>
      <x:c r="K63" s="204" t="n">
        <x:v>70</x:v>
      </x:c>
      <x:c r="L63" s="204" t="n">
        <x:v>70</x:v>
      </x:c>
      <x:c r="M63" s="204" t="n">
        <x:v>60</x:v>
      </x:c>
      <x:c r="N63" s="204" t="n">
        <x:v>85</x:v>
      </x:c>
      <x:c r="O63" s="204" t="n">
        <x:v>100</x:v>
      </x:c>
      <x:c r="P63" s="204" t="n">
        <x:v>95</x:v>
      </x:c>
      <x:c r="Q63" s="204" t="n">
        <x:f>SUM(K63:P63)</x:f>
        <x:v>480</x:v>
      </x:c>
      <x:c r="R63" s="204" t="n">
        <x:v>480</x:v>
      </x:c>
      <x:c r="S63" s="204" t="n">
        <x:f>Q63-R63</x:f>
        <x:v>0</x:v>
      </x:c>
      <x:c r="T63" s="203" t="str">
        <x:v>Leans on Sp. Def / Speed; gives up Defense to preserve the handoff profile M | M | M-L | M-H | H | H.</x:v>
      </x:c>
      <x:c r="U63" s="203" t="str">
        <x:v>Standard</x:v>
      </x:c>
      <x:c r="V63" s="203" t="str">
        <x:v>Standard</x:v>
      </x:c>
      <x:c r="W63" s="203" t="str">
        <x:v>Standard</x:v>
      </x:c>
      <x:c r="X63" s="205" t="str">
        <x:v>187-Monster Ability &amp; BST Design Handoff</x:v>
      </x:c>
    </x:row>
    <x:row r="64">
      <x:c r="A64" s="202" t="n">
        <x:v>62</x:v>
      </x:c>
      <x:c r="B64" s="203" t="str">
        <x:v>Votress</x:v>
      </x:c>
      <x:c r="C64" s="203" t="str">
        <x:v>Psychic</x:v>
      </x:c>
      <x:c r="D64" s="203" t="str"/>
      <x:c r="E64" s="203" t="str">
        <x:v>Vow Split Base</x:v>
      </x:c>
      <x:c r="F64" s="203" t="str">
        <x:v>Base / Early</x:v>
      </x:c>
      <x:c r="G64" s="203" t="str">
        <x:v>M | L | M | M-H | H | M</x:v>
      </x:c>
      <x:c r="H64" s="203" t="str">
        <x:v>Safekeep</x:v>
      </x:c>
      <x:c r="I64" s="203" t="str">
        <x:v>Calm Guard</x:v>
      </x:c>
      <x:c r="J64" s="203" t="str">
        <x:v>Foresight</x:v>
      </x:c>
      <x:c r="K64" s="204" t="n">
        <x:v>50</x:v>
      </x:c>
      <x:c r="L64" s="204" t="n">
        <x:v>35</x:v>
      </x:c>
      <x:c r="M64" s="204" t="n">
        <x:v>55</x:v>
      </x:c>
      <x:c r="N64" s="204" t="n">
        <x:v>60</x:v>
      </x:c>
      <x:c r="O64" s="204" t="n">
        <x:v>70</x:v>
      </x:c>
      <x:c r="P64" s="204" t="n">
        <x:v>50</x:v>
      </x:c>
      <x:c r="Q64" s="204" t="n">
        <x:f>SUM(K64:P64)</x:f>
        <x:v>320</x:v>
      </x:c>
      <x:c r="R64" s="204" t="n">
        <x:v>320</x:v>
      </x:c>
      <x:c r="S64" s="204" t="n">
        <x:f>Q64-R64</x:f>
        <x:v>0</x:v>
      </x:c>
      <x:c r="T64" s="203" t="str">
        <x:v>Leans on Sp. Def; gives up Attack to preserve the handoff profile M | L | M | M-H | H | M.</x:v>
      </x:c>
      <x:c r="U64" s="203" t="str">
        <x:v>Standard</x:v>
      </x:c>
      <x:c r="V64" s="203" t="str">
        <x:v>Standard</x:v>
      </x:c>
      <x:c r="W64" s="203" t="str">
        <x:v>Standard</x:v>
      </x:c>
      <x:c r="X64" s="205" t="str">
        <x:v>187-Monster Ability &amp; BST Design Handoff</x:v>
      </x:c>
    </x:row>
    <x:row r="65">
      <x:c r="A65" s="202" t="n">
        <x:v>63</x:v>
      </x:c>
      <x:c r="B65" s="203" t="str">
        <x:v>Sigilume</x:v>
      </x:c>
      <x:c r="C65" s="203" t="str">
        <x:v>Psychic</x:v>
      </x:c>
      <x:c r="D65" s="203" t="str">
        <x:v>Steel</x:v>
      </x:c>
      <x:c r="E65" s="203" t="str">
        <x:v>Ordered Split Final</x:v>
      </x:c>
      <x:c r="F65" s="203" t="str">
        <x:v>Standard Final</x:v>
      </x:c>
      <x:c r="G65" s="203" t="str">
        <x:v>H | L | H | H | H | L-M</x:v>
      </x:c>
      <x:c r="H65" s="203" t="str">
        <x:v>Safekeep</x:v>
      </x:c>
      <x:c r="I65" s="203" t="str">
        <x:v>Calm Guard</x:v>
      </x:c>
      <x:c r="J65" s="203" t="str">
        <x:v>Screenmender</x:v>
      </x:c>
      <x:c r="K65" s="204" t="n">
        <x:v>100</x:v>
      </x:c>
      <x:c r="L65" s="204" t="n">
        <x:v>45</x:v>
      </x:c>
      <x:c r="M65" s="204" t="n">
        <x:v>100</x:v>
      </x:c>
      <x:c r="N65" s="204" t="n">
        <x:v>100</x:v>
      </x:c>
      <x:c r="O65" s="204" t="n">
        <x:v>100</x:v>
      </x:c>
      <x:c r="P65" s="204" t="n">
        <x:v>60</x:v>
      </x:c>
      <x:c r="Q65" s="204" t="n">
        <x:f>SUM(K65:P65)</x:f>
        <x:v>505</x:v>
      </x:c>
      <x:c r="R65" s="204" t="n">
        <x:v>505</x:v>
      </x:c>
      <x:c r="S65" s="204" t="n">
        <x:f>Q65-R65</x:f>
        <x:v>0</x:v>
      </x:c>
      <x:c r="T65" s="203" t="str">
        <x:v>Leans on HP / Defense; gives up Attack to preserve the handoff profile H | L | H | H | H | L-M.</x:v>
      </x:c>
      <x:c r="U65" s="203" t="str">
        <x:v>Standard</x:v>
      </x:c>
      <x:c r="V65" s="203" t="str">
        <x:v>Standard</x:v>
      </x:c>
      <x:c r="W65" s="203" t="str">
        <x:v>Rare</x:v>
      </x:c>
      <x:c r="X65" s="205" t="str">
        <x:v>187-Monster Ability &amp; BST Design Handoff</x:v>
      </x:c>
    </x:row>
    <x:row r="66">
      <x:c r="A66" s="202" t="n">
        <x:v>64</x:v>
      </x:c>
      <x:c r="B66" s="203" t="str">
        <x:v>Sepulshade</x:v>
      </x:c>
      <x:c r="C66" s="203" t="str">
        <x:v>Psychic</x:v>
      </x:c>
      <x:c r="D66" s="203" t="str">
        <x:v>Ghost</x:v>
      </x:c>
      <x:c r="E66" s="203" t="str">
        <x:v>Memorial Split Final</x:v>
      </x:c>
      <x:c r="F66" s="203" t="str">
        <x:v>Standard Final</x:v>
      </x:c>
      <x:c r="G66" s="203" t="str">
        <x:v>M-H | L | M | H | VH | M-L</x:v>
      </x:c>
      <x:c r="H66" s="203" t="str">
        <x:v>Calm Guard</x:v>
      </x:c>
      <x:c r="I66" s="203" t="str">
        <x:v>Foresight</x:v>
      </x:c>
      <x:c r="J66" s="203" t="str">
        <x:v>Palimpsest</x:v>
      </x:c>
      <x:c r="K66" s="204" t="n">
        <x:v>90</x:v>
      </x:c>
      <x:c r="L66" s="204" t="n">
        <x:v>50</x:v>
      </x:c>
      <x:c r="M66" s="204" t="n">
        <x:v>75</x:v>
      </x:c>
      <x:c r="N66" s="204" t="n">
        <x:v>105</x:v>
      </x:c>
      <x:c r="O66" s="204" t="n">
        <x:v>125</x:v>
      </x:c>
      <x:c r="P66" s="204" t="n">
        <x:v>60</x:v>
      </x:c>
      <x:c r="Q66" s="204" t="n">
        <x:f>SUM(K66:P66)</x:f>
        <x:v>505</x:v>
      </x:c>
      <x:c r="R66" s="204" t="n">
        <x:v>505</x:v>
      </x:c>
      <x:c r="S66" s="204" t="n">
        <x:f>Q66-R66</x:f>
        <x:v>0</x:v>
      </x:c>
      <x:c r="T66" s="203" t="str">
        <x:v>Leans on Sp. Def; gives up Attack to preserve the handoff profile M-H | L | M | H | VH | M-L.</x:v>
      </x:c>
      <x:c r="U66" s="203" t="str">
        <x:v>Standard</x:v>
      </x:c>
      <x:c r="V66" s="203" t="str">
        <x:v>Standard</x:v>
      </x:c>
      <x:c r="W66" s="203" t="str">
        <x:v>Rare</x:v>
      </x:c>
      <x:c r="X66" s="205" t="str">
        <x:v>187-Monster Ability &amp; BST Design Handoff</x:v>
      </x:c>
    </x:row>
    <x:row r="67">
      <x:c r="A67" s="202" t="n">
        <x:v>65</x:v>
      </x:c>
      <x:c r="B67" s="203" t="str">
        <x:v>Idolure</x:v>
      </x:c>
      <x:c r="C67" s="203" t="str">
        <x:v>Psychic</x:v>
      </x:c>
      <x:c r="D67" s="203" t="str">
        <x:v>Fairy</x:v>
      </x:c>
      <x:c r="E67" s="203" t="str">
        <x:v>Idol Split Final</x:v>
      </x:c>
      <x:c r="F67" s="203" t="str">
        <x:v>Standard Final</x:v>
      </x:c>
      <x:c r="G67" s="203" t="str">
        <x:v>M | L | M-L | H | H | H</x:v>
      </x:c>
      <x:c r="H67" s="203" t="str">
        <x:v>Feintstep</x:v>
      </x:c>
      <x:c r="I67" s="203" t="str">
        <x:v>Foresight</x:v>
      </x:c>
      <x:c r="J67" s="203" t="str">
        <x:v>Covetous Mirror</x:v>
      </x:c>
      <x:c r="K67" s="204" t="n">
        <x:v>75</x:v>
      </x:c>
      <x:c r="L67" s="204" t="n">
        <x:v>50</x:v>
      </x:c>
      <x:c r="M67" s="204" t="n">
        <x:v>65</x:v>
      </x:c>
      <x:c r="N67" s="204" t="n">
        <x:v>105</x:v>
      </x:c>
      <x:c r="O67" s="204" t="n">
        <x:v>105</x:v>
      </x:c>
      <x:c r="P67" s="204" t="n">
        <x:v>105</x:v>
      </x:c>
      <x:c r="Q67" s="204" t="n">
        <x:f>SUM(K67:P67)</x:f>
        <x:v>505</x:v>
      </x:c>
      <x:c r="R67" s="204" t="n">
        <x:v>505</x:v>
      </x:c>
      <x:c r="S67" s="204" t="n">
        <x:f>Q67-R67</x:f>
        <x:v>0</x:v>
      </x:c>
      <x:c r="T67" s="203" t="str">
        <x:v>Leans on Sp. Atk / Sp. Def; gives up Attack to preserve the handoff profile M | L | M-L | H | H | H.</x:v>
      </x:c>
      <x:c r="U67" s="203" t="str">
        <x:v>Standard</x:v>
      </x:c>
      <x:c r="V67" s="203" t="str">
        <x:v>Standard</x:v>
      </x:c>
      <x:c r="W67" s="203" t="str">
        <x:v>Rare</x:v>
      </x:c>
      <x:c r="X67" s="205" t="str">
        <x:v>187-Monster Ability &amp; BST Design Handoff</x:v>
      </x:c>
    </x:row>
    <x:row r="68">
      <x:c r="A68" s="202" t="n">
        <x:v>66</x:v>
      </x:c>
      <x:c r="B68" s="203" t="str">
        <x:v>Brackhound</x:v>
      </x:c>
      <x:c r="C68" s="203" t="str">
        <x:v>Dark</x:v>
      </x:c>
      <x:c r="D68" s="203" t="str"/>
      <x:c r="E68" s="203" t="str">
        <x:v>Gatehound Stage 1</x:v>
      </x:c>
      <x:c r="F68" s="203" t="str">
        <x:v>Base / Early</x:v>
      </x:c>
      <x:c r="G68" s="203" t="str">
        <x:v>M | H | M | L | M | M-H</x:v>
      </x:c>
      <x:c r="H68" s="203" t="str">
        <x:v>Protector</x:v>
      </x:c>
      <x:c r="I68" s="203" t="str">
        <x:v>Unfazed</x:v>
      </x:c>
      <x:c r="J68" s="203" t="str">
        <x:v>Gatekeeper</x:v>
      </x:c>
      <x:c r="K68" s="204" t="n">
        <x:v>50</x:v>
      </x:c>
      <x:c r="L68" s="204" t="n">
        <x:v>65</x:v>
      </x:c>
      <x:c r="M68" s="204" t="n">
        <x:v>50</x:v>
      </x:c>
      <x:c r="N68" s="204" t="n">
        <x:v>30</x:v>
      </x:c>
      <x:c r="O68" s="204" t="n">
        <x:v>50</x:v>
      </x:c>
      <x:c r="P68" s="204" t="n">
        <x:v>60</x:v>
      </x:c>
      <x:c r="Q68" s="204" t="n">
        <x:f>SUM(K68:P68)</x:f>
        <x:v>305</x:v>
      </x:c>
      <x:c r="R68" s="204" t="n">
        <x:v>305</x:v>
      </x:c>
      <x:c r="S68" s="204" t="n">
        <x:f>Q68-R68</x:f>
        <x:v>0</x:v>
      </x:c>
      <x:c r="T68" s="203" t="str">
        <x:v>Leans on Attack / Speed; gives up Sp. Atk to preserve the handoff profile M | H | M | L | M | M-H.</x:v>
      </x:c>
      <x:c r="U68" s="203" t="str">
        <x:v>Standard</x:v>
      </x:c>
      <x:c r="V68" s="203" t="str">
        <x:v>Standard</x:v>
      </x:c>
      <x:c r="W68" s="203" t="str">
        <x:v>Rare</x:v>
      </x:c>
      <x:c r="X68" s="205" t="str">
        <x:v>187-Monster Ability &amp; BST Design Handoff</x:v>
      </x:c>
    </x:row>
    <x:row r="69">
      <x:c r="A69" s="202" t="n">
        <x:v>67</x:v>
      </x:c>
      <x:c r="B69" s="203" t="str">
        <x:v>Mastigrim</x:v>
      </x:c>
      <x:c r="C69" s="203" t="str">
        <x:v>Dark</x:v>
      </x:c>
      <x:c r="D69" s="203" t="str">
        <x:v>Fighting</x:v>
      </x:c>
      <x:c r="E69" s="203" t="str">
        <x:v>Gatehound Stage 2</x:v>
      </x:c>
      <x:c r="F69" s="203" t="str">
        <x:v>Middle / Evolving</x:v>
      </x:c>
      <x:c r="G69" s="203" t="str">
        <x:v>H | H | H | L | M | M</x:v>
      </x:c>
      <x:c r="H69" s="203" t="str">
        <x:v>Protector</x:v>
      </x:c>
      <x:c r="I69" s="203" t="str">
        <x:v>Unfazed</x:v>
      </x:c>
      <x:c r="J69" s="203" t="str">
        <x:v>Gatekeeper</x:v>
      </x:c>
      <x:c r="K69" s="204" t="n">
        <x:v>85</x:v>
      </x:c>
      <x:c r="L69" s="204" t="n">
        <x:v>85</x:v>
      </x:c>
      <x:c r="M69" s="204" t="n">
        <x:v>85</x:v>
      </x:c>
      <x:c r="N69" s="204" t="n">
        <x:v>40</x:v>
      </x:c>
      <x:c r="O69" s="204" t="n">
        <x:v>65</x:v>
      </x:c>
      <x:c r="P69" s="204" t="n">
        <x:v>60</x:v>
      </x:c>
      <x:c r="Q69" s="204" t="n">
        <x:f>SUM(K69:P69)</x:f>
        <x:v>420</x:v>
      </x:c>
      <x:c r="R69" s="204" t="n">
        <x:v>420</x:v>
      </x:c>
      <x:c r="S69" s="204" t="n">
        <x:f>Q69-R69</x:f>
        <x:v>0</x:v>
      </x:c>
      <x:c r="T69" s="203" t="str">
        <x:v>Leans on HP / Attack; gives up Sp. Atk to preserve the handoff profile H | H | H | L | M | M.</x:v>
      </x:c>
      <x:c r="U69" s="203" t="str">
        <x:v>Standard</x:v>
      </x:c>
      <x:c r="V69" s="203" t="str">
        <x:v>Standard</x:v>
      </x:c>
      <x:c r="W69" s="203" t="str">
        <x:v>Rare</x:v>
      </x:c>
      <x:c r="X69" s="205" t="str">
        <x:v>187-Monster Ability &amp; BST Design Handoff</x:v>
      </x:c>
    </x:row>
    <x:row r="70">
      <x:c r="A70" s="202" t="n">
        <x:v>68</x:v>
      </x:c>
      <x:c r="B70" s="203" t="str">
        <x:v>Cerberrood</x:v>
      </x:c>
      <x:c r="C70" s="203" t="str">
        <x:v>Dark</x:v>
      </x:c>
      <x:c r="D70" s="203" t="str">
        <x:v>Fighting</x:v>
      </x:c>
      <x:c r="E70" s="203" t="str">
        <x:v>Gatehound Final</x:v>
      </x:c>
      <x:c r="F70" s="203" t="str">
        <x:v>Elite Final</x:v>
      </x:c>
      <x:c r="G70" s="203" t="str">
        <x:v>VH | H | H | L | H | M-L</x:v>
      </x:c>
      <x:c r="H70" s="203" t="str">
        <x:v>Protector</x:v>
      </x:c>
      <x:c r="I70" s="203" t="str">
        <x:v>Unfazed</x:v>
      </x:c>
      <x:c r="J70" s="203" t="str">
        <x:v>Gatekeeper</x:v>
      </x:c>
      <x:c r="K70" s="204" t="n">
        <x:v>120</x:v>
      </x:c>
      <x:c r="L70" s="204" t="n">
        <x:v>100</x:v>
      </x:c>
      <x:c r="M70" s="204" t="n">
        <x:v>100</x:v>
      </x:c>
      <x:c r="N70" s="204" t="n">
        <x:v>45</x:v>
      </x:c>
      <x:c r="O70" s="204" t="n">
        <x:v>100</x:v>
      </x:c>
      <x:c r="P70" s="204" t="n">
        <x:v>60</x:v>
      </x:c>
      <x:c r="Q70" s="204" t="n">
        <x:f>SUM(K70:P70)</x:f>
        <x:v>525</x:v>
      </x:c>
      <x:c r="R70" s="204" t="n">
        <x:v>525</x:v>
      </x:c>
      <x:c r="S70" s="204" t="n">
        <x:f>Q70-R70</x:f>
        <x:v>0</x:v>
      </x:c>
      <x:c r="T70" s="203" t="str">
        <x:v>Leans on HP; gives up Sp. Atk to preserve the handoff profile VH | H | H | L | H | M-L.</x:v>
      </x:c>
      <x:c r="U70" s="203" t="str">
        <x:v>Standard</x:v>
      </x:c>
      <x:c r="V70" s="203" t="str">
        <x:v>Standard</x:v>
      </x:c>
      <x:c r="W70" s="203" t="str">
        <x:v>Rare</x:v>
      </x:c>
      <x:c r="X70" s="205" t="str">
        <x:v>187-Monster Ability &amp; BST Design Handoff</x:v>
      </x:c>
    </x:row>
    <x:row r="71">
      <x:c r="A71" s="202" t="n">
        <x:v>69</x:v>
      </x:c>
      <x:c r="B71" s="203" t="str">
        <x:v>Murmite</x:v>
      </x:c>
      <x:c r="C71" s="203" t="str">
        <x:v>Bug</x:v>
      </x:c>
      <x:c r="D71" s="203" t="str">
        <x:v>Ghost</x:v>
      </x:c>
      <x:c r="E71" s="203" t="str">
        <x:v>Atmosphere Single-stage</x:v>
      </x:c>
      <x:c r="F71" s="203" t="str">
        <x:v>Middle / Evolving</x:v>
      </x:c>
      <x:c r="G71" s="203" t="str">
        <x:v>M-L | L | L-M | M | H | H</x:v>
      </x:c>
      <x:c r="H71" s="203" t="str">
        <x:v>Soundproof</x:v>
      </x:c>
      <x:c r="I71" s="203" t="str">
        <x:v>Chorus</x:v>
      </x:c>
      <x:c r="J71" s="203" t="str">
        <x:v>Foresight</x:v>
      </x:c>
      <x:c r="K71" s="204" t="n">
        <x:v>60</x:v>
      </x:c>
      <x:c r="L71" s="204" t="n">
        <x:v>45</x:v>
      </x:c>
      <x:c r="M71" s="204" t="n">
        <x:v>60</x:v>
      </x:c>
      <x:c r="N71" s="204" t="n">
        <x:v>70</x:v>
      </x:c>
      <x:c r="O71" s="204" t="n">
        <x:v>95</x:v>
      </x:c>
      <x:c r="P71" s="204" t="n">
        <x:v>100</x:v>
      </x:c>
      <x:c r="Q71" s="204" t="n">
        <x:f>SUM(K71:P71)</x:f>
        <x:v>430</x:v>
      </x:c>
      <x:c r="R71" s="204" t="n">
        <x:v>430</x:v>
      </x:c>
      <x:c r="S71" s="204" t="n">
        <x:f>Q71-R71</x:f>
        <x:v>0</x:v>
      </x:c>
      <x:c r="T71" s="203" t="str">
        <x:v>Leans on Speed / Sp. Def; gives up Attack to preserve the handoff profile M-L | L | L-M | M | H | H.</x:v>
      </x:c>
      <x:c r="U71" s="203" t="str">
        <x:v>Standard</x:v>
      </x:c>
      <x:c r="V71" s="203" t="str">
        <x:v>Standard</x:v>
      </x:c>
      <x:c r="W71" s="203" t="str">
        <x:v>Standard</x:v>
      </x:c>
      <x:c r="X71" s="205" t="str">
        <x:v>187-Monster Ability &amp; BST Design Handoff</x:v>
      </x:c>
    </x:row>
    <x:row r="72">
      <x:c r="A72" s="202" t="n">
        <x:v>70</x:v>
      </x:c>
      <x:c r="B72" s="203" t="str">
        <x:v>Cairant</x:v>
      </x:c>
      <x:c r="C72" s="203" t="str">
        <x:v>Dragon</x:v>
      </x:c>
      <x:c r="D72" s="203" t="str"/>
      <x:c r="E72" s="203" t="str">
        <x:v>Dragon Split Base</x:v>
      </x:c>
      <x:c r="F72" s="203" t="str">
        <x:v>Base / Early</x:v>
      </x:c>
      <x:c r="G72" s="203" t="str">
        <x:v>M | M | M | M | M | M</x:v>
      </x:c>
      <x:c r="H72" s="203" t="str">
        <x:v>Adaptable Hide</x:v>
      </x:c>
      <x:c r="I72" s="203" t="str">
        <x:v>Renewal</x:v>
      </x:c>
      <x:c r="J72" s="203" t="str">
        <x:v>Wayfarer</x:v>
      </x:c>
      <x:c r="K72" s="204" t="n">
        <x:v>55</x:v>
      </x:c>
      <x:c r="L72" s="204" t="n">
        <x:v>55</x:v>
      </x:c>
      <x:c r="M72" s="204" t="n">
        <x:v>55</x:v>
      </x:c>
      <x:c r="N72" s="204" t="n">
        <x:v>55</x:v>
      </x:c>
      <x:c r="O72" s="204" t="n">
        <x:v>55</x:v>
      </x:c>
      <x:c r="P72" s="204" t="n">
        <x:v>55</x:v>
      </x:c>
      <x:c r="Q72" s="204" t="n">
        <x:f>SUM(K72:P72)</x:f>
        <x:v>330</x:v>
      </x:c>
      <x:c r="R72" s="204" t="n">
        <x:v>330</x:v>
      </x:c>
      <x:c r="S72" s="204" t="n">
        <x:f>Q72-R72</x:f>
        <x:v>0</x:v>
      </x:c>
      <x:c r="T72" s="203" t="str">
        <x:v>Leans on HP / Attack; gives up HP / Attack to preserve the handoff profile M | M | M | M | M | M.</x:v>
      </x:c>
      <x:c r="U72" s="203" t="str">
        <x:v>Standard</x:v>
      </x:c>
      <x:c r="V72" s="203" t="str">
        <x:v>Standard</x:v>
      </x:c>
      <x:c r="W72" s="203" t="str">
        <x:v>Standard</x:v>
      </x:c>
      <x:c r="X72" s="205" t="str">
        <x:v>187-Monster Ability &amp; BST Design Handoff</x:v>
      </x:c>
    </x:row>
    <x:row r="73">
      <x:c r="A73" s="202" t="n">
        <x:v>71</x:v>
      </x:c>
      <x:c r="B73" s="203" t="str">
        <x:v>Serapine</x:v>
      </x:c>
      <x:c r="C73" s="203" t="str">
        <x:v>Fairy</x:v>
      </x:c>
      <x:c r="D73" s="203" t="str">
        <x:v>Dragon</x:v>
      </x:c>
      <x:c r="E73" s="203" t="str">
        <x:v>Pure Split Final</x:v>
      </x:c>
      <x:c r="F73" s="203" t="str">
        <x:v>Elite Final</x:v>
      </x:c>
      <x:c r="G73" s="203" t="str">
        <x:v>H | M-L | M | H | VH | M-H</x:v>
      </x:c>
      <x:c r="H73" s="203" t="str">
        <x:v>Renewal</x:v>
      </x:c>
      <x:c r="I73" s="203" t="str">
        <x:v>Calm Guard</x:v>
      </x:c>
      <x:c r="J73" s="203" t="str">
        <x:v>Stable Core</x:v>
      </x:c>
      <x:c r="K73" s="204" t="n">
        <x:v>100</x:v>
      </x:c>
      <x:c r="L73" s="204" t="n">
        <x:v>60</x:v>
      </x:c>
      <x:c r="M73" s="204" t="n">
        <x:v>75</x:v>
      </x:c>
      <x:c r="N73" s="204" t="n">
        <x:v>100</x:v>
      </x:c>
      <x:c r="O73" s="204" t="n">
        <x:v>120</x:v>
      </x:c>
      <x:c r="P73" s="204" t="n">
        <x:v>85</x:v>
      </x:c>
      <x:c r="Q73" s="204" t="n">
        <x:f>SUM(K73:P73)</x:f>
        <x:v>540</x:v>
      </x:c>
      <x:c r="R73" s="204" t="n">
        <x:v>540</x:v>
      </x:c>
      <x:c r="S73" s="204" t="n">
        <x:f>Q73-R73</x:f>
        <x:v>0</x:v>
      </x:c>
      <x:c r="T73" s="203" t="str">
        <x:v>Leans on Sp. Def; gives up Attack to preserve the handoff profile H | M-L | M | H | VH | M-H.</x:v>
      </x:c>
      <x:c r="U73" s="203" t="str">
        <x:v>Standard</x:v>
      </x:c>
      <x:c r="V73" s="203" t="str">
        <x:v>Standard</x:v>
      </x:c>
      <x:c r="W73" s="203" t="str">
        <x:v>Rare</x:v>
      </x:c>
      <x:c r="X73" s="205" t="str">
        <x:v>187-Monster Ability &amp; BST Design Handoff</x:v>
      </x:c>
    </x:row>
    <x:row r="74">
      <x:c r="A74" s="202" t="n">
        <x:v>72</x:v>
      </x:c>
      <x:c r="B74" s="203" t="str">
        <x:v>Pandemne</x:v>
      </x:c>
      <x:c r="C74" s="203" t="str">
        <x:v>Dark</x:v>
      </x:c>
      <x:c r="D74" s="203" t="str">
        <x:v>Dragon</x:v>
      </x:c>
      <x:c r="E74" s="203" t="str">
        <x:v>Corrupt Split Final</x:v>
      </x:c>
      <x:c r="F74" s="203" t="str">
        <x:v>Elite Final</x:v>
      </x:c>
      <x:c r="G74" s="203" t="str">
        <x:v>M | H | M | H | M | H</x:v>
      </x:c>
      <x:c r="H74" s="203" t="str">
        <x:v>Feintstep</x:v>
      </x:c>
      <x:c r="I74" s="203" t="str">
        <x:v>Ambush</x:v>
      </x:c>
      <x:c r="J74" s="203" t="str">
        <x:v>Covetous Mirror</x:v>
      </x:c>
      <x:c r="K74" s="204" t="n">
        <x:v>75</x:v>
      </x:c>
      <x:c r="L74" s="204" t="n">
        <x:v>105</x:v>
      </x:c>
      <x:c r="M74" s="204" t="n">
        <x:v>75</x:v>
      </x:c>
      <x:c r="N74" s="204" t="n">
        <x:v>105</x:v>
      </x:c>
      <x:c r="O74" s="204" t="n">
        <x:v>75</x:v>
      </x:c>
      <x:c r="P74" s="204" t="n">
        <x:v>105</x:v>
      </x:c>
      <x:c r="Q74" s="204" t="n">
        <x:f>SUM(K74:P74)</x:f>
        <x:v>540</x:v>
      </x:c>
      <x:c r="R74" s="204" t="n">
        <x:v>540</x:v>
      </x:c>
      <x:c r="S74" s="204" t="n">
        <x:f>Q74-R74</x:f>
        <x:v>0</x:v>
      </x:c>
      <x:c r="T74" s="203" t="str">
        <x:v>Leans on Attack / Sp. Atk; gives up HP / Defense to preserve the handoff profile M | H | M | H | M | H.</x:v>
      </x:c>
      <x:c r="U74" s="203" t="str">
        <x:v>Standard</x:v>
      </x:c>
      <x:c r="V74" s="203" t="str">
        <x:v>Standard</x:v>
      </x:c>
      <x:c r="W74" s="203" t="str">
        <x:v>Rare</x:v>
      </x:c>
      <x:c r="X74" s="205" t="str">
        <x:v>187-Monster Ability &amp; BST Design Handoff</x:v>
      </x:c>
    </x:row>
    <x:row r="75">
      <x:c r="A75" s="202" t="n">
        <x:v>73</x:v>
      </x:c>
      <x:c r="B75" s="203" t="str">
        <x:v>Flaggrim</x:v>
      </x:c>
      <x:c r="C75" s="203" t="str">
        <x:v>Fighting</x:v>
      </x:c>
      <x:c r="D75" s="203" t="str"/>
      <x:c r="E75" s="203" t="str">
        <x:v>Banner Split Base</x:v>
      </x:c>
      <x:c r="F75" s="203" t="str">
        <x:v>Base / Early</x:v>
      </x:c>
      <x:c r="G75" s="203" t="str">
        <x:v>M | H | M | L | M | M-H</x:v>
      </x:c>
      <x:c r="H75" s="203" t="str">
        <x:v>First Strike</x:v>
      </x:c>
      <x:c r="I75" s="203" t="str">
        <x:v>Rallying Cry</x:v>
      </x:c>
      <x:c r="J75" s="203" t="str">
        <x:v>Protector</x:v>
      </x:c>
      <x:c r="K75" s="204" t="n">
        <x:v>50</x:v>
      </x:c>
      <x:c r="L75" s="204" t="n">
        <x:v>70</x:v>
      </x:c>
      <x:c r="M75" s="204" t="n">
        <x:v>50</x:v>
      </x:c>
      <x:c r="N75" s="204" t="n">
        <x:v>30</x:v>
      </x:c>
      <x:c r="O75" s="204" t="n">
        <x:v>50</x:v>
      </x:c>
      <x:c r="P75" s="204" t="n">
        <x:v>60</x:v>
      </x:c>
      <x:c r="Q75" s="204" t="n">
        <x:f>SUM(K75:P75)</x:f>
        <x:v>310</x:v>
      </x:c>
      <x:c r="R75" s="204" t="n">
        <x:v>310</x:v>
      </x:c>
      <x:c r="S75" s="204" t="n">
        <x:f>Q75-R75</x:f>
        <x:v>0</x:v>
      </x:c>
      <x:c r="T75" s="203" t="str">
        <x:v>Leans on Attack; gives up Sp. Atk to preserve the handoff profile M | H | M | L | M | M-H.</x:v>
      </x:c>
      <x:c r="U75" s="203" t="str">
        <x:v>Standard</x:v>
      </x:c>
      <x:c r="V75" s="203" t="str">
        <x:v>Standard</x:v>
      </x:c>
      <x:c r="W75" s="203" t="str">
        <x:v>Standard</x:v>
      </x:c>
      <x:c r="X75" s="205" t="str">
        <x:v>187-Monster Ability &amp; BST Design Handoff</x:v>
      </x:c>
    </x:row>
    <x:row r="76">
      <x:c r="A76" s="202" t="n">
        <x:v>74</x:v>
      </x:c>
      <x:c r="B76" s="203" t="str">
        <x:v>Oriflamme</x:v>
      </x:c>
      <x:c r="C76" s="203" t="str">
        <x:v>Fighting</x:v>
      </x:c>
      <x:c r="D76" s="203" t="str">
        <x:v>Fairy</x:v>
      </x:c>
      <x:c r="E76" s="203" t="str">
        <x:v>Radiant Split Final</x:v>
      </x:c>
      <x:c r="F76" s="203" t="str">
        <x:v>Standard Final</x:v>
      </x:c>
      <x:c r="G76" s="203" t="str">
        <x:v>M-H | H | M | M | H | H</x:v>
      </x:c>
      <x:c r="H76" s="203" t="str">
        <x:v>Rallying Cry</x:v>
      </x:c>
      <x:c r="I76" s="203" t="str">
        <x:v>Sunstride</x:v>
      </x:c>
      <x:c r="J76" s="203" t="str">
        <x:v>Protector</x:v>
      </x:c>
      <x:c r="K76" s="204" t="n">
        <x:v>80</x:v>
      </x:c>
      <x:c r="L76" s="204" t="n">
        <x:v>95</x:v>
      </x:c>
      <x:c r="M76" s="204" t="n">
        <x:v>70</x:v>
      </x:c>
      <x:c r="N76" s="204" t="n">
        <x:v>70</x:v>
      </x:c>
      <x:c r="O76" s="204" t="n">
        <x:v>95</x:v>
      </x:c>
      <x:c r="P76" s="204" t="n">
        <x:v>95</x:v>
      </x:c>
      <x:c r="Q76" s="204" t="n">
        <x:f>SUM(K76:P76)</x:f>
        <x:v>505</x:v>
      </x:c>
      <x:c r="R76" s="204" t="n">
        <x:v>505</x:v>
      </x:c>
      <x:c r="S76" s="204" t="n">
        <x:f>Q76-R76</x:f>
        <x:v>0</x:v>
      </x:c>
      <x:c r="T76" s="203" t="str">
        <x:v>Leans on Attack / Sp. Def; gives up Defense / Sp. Atk to preserve the handoff profile M-H | H | M | M | H | H.</x:v>
      </x:c>
      <x:c r="U76" s="203" t="str">
        <x:v>Standard</x:v>
      </x:c>
      <x:c r="V76" s="203" t="str">
        <x:v>Standard</x:v>
      </x:c>
      <x:c r="W76" s="203" t="str">
        <x:v>Standard</x:v>
      </x:c>
      <x:c r="X76" s="205" t="str">
        <x:v>187-Monster Ability &amp; BST Design Handoff</x:v>
      </x:c>
    </x:row>
    <x:row r="77">
      <x:c r="A77" s="202" t="n">
        <x:v>75</x:v>
      </x:c>
      <x:c r="B77" s="203" t="str">
        <x:v>Tattereign</x:v>
      </x:c>
      <x:c r="C77" s="203" t="str">
        <x:v>Dark</x:v>
      </x:c>
      <x:c r="D77" s="203" t="str">
        <x:v>Flying</x:v>
      </x:c>
      <x:c r="E77" s="203" t="str">
        <x:v>Broken Split Final</x:v>
      </x:c>
      <x:c r="F77" s="203" t="str">
        <x:v>Standard Final</x:v>
      </x:c>
      <x:c r="G77" s="203" t="str">
        <x:v>M | H | L-M | M | M | VH</x:v>
      </x:c>
      <x:c r="H77" s="203" t="str">
        <x:v>Ambush</x:v>
      </x:c>
      <x:c r="I77" s="203" t="str">
        <x:v>Wayfarer</x:v>
      </x:c>
      <x:c r="J77" s="203" t="str">
        <x:v>Stormsense</x:v>
      </x:c>
      <x:c r="K77" s="204" t="n">
        <x:v>75</x:v>
      </x:c>
      <x:c r="L77" s="204" t="n">
        <x:v>100</x:v>
      </x:c>
      <x:c r="M77" s="204" t="n">
        <x:v>60</x:v>
      </x:c>
      <x:c r="N77" s="204" t="n">
        <x:v>70</x:v>
      </x:c>
      <x:c r="O77" s="204" t="n">
        <x:v>75</x:v>
      </x:c>
      <x:c r="P77" s="204" t="n">
        <x:v>125</x:v>
      </x:c>
      <x:c r="Q77" s="204" t="n">
        <x:f>SUM(K77:P77)</x:f>
        <x:v>505</x:v>
      </x:c>
      <x:c r="R77" s="204" t="n">
        <x:v>505</x:v>
      </x:c>
      <x:c r="S77" s="204" t="n">
        <x:f>Q77-R77</x:f>
        <x:v>0</x:v>
      </x:c>
      <x:c r="T77" s="203" t="str">
        <x:v>Leans on Speed; gives up Defense to preserve the handoff profile M | H | L-M | M | M | VH.</x:v>
      </x:c>
      <x:c r="U77" s="203" t="str">
        <x:v>Standard</x:v>
      </x:c>
      <x:c r="V77" s="203" t="str">
        <x:v>Standard</x:v>
      </x:c>
      <x:c r="W77" s="203" t="str">
        <x:v>Standard</x:v>
      </x:c>
      <x:c r="X77" s="205" t="str">
        <x:v>187-Monster Ability &amp; BST Design Handoff</x:v>
      </x:c>
    </x:row>
    <x:row r="78">
      <x:c r="A78" s="202" t="n">
        <x:v>76</x:v>
      </x:c>
      <x:c r="B78" s="203" t="str">
        <x:v>Grailhare</x:v>
      </x:c>
      <x:c r="C78" s="203" t="str">
        <x:v>Normal</x:v>
      </x:c>
      <x:c r="D78" s="203" t="str">
        <x:v>Psychic</x:v>
      </x:c>
      <x:c r="E78" s="203" t="str">
        <x:v>Rare Single-stage</x:v>
      </x:c>
      <x:c r="F78" s="203" t="str">
        <x:v>Single-stage</x:v>
      </x:c>
      <x:c r="G78" s="203" t="str">
        <x:v>M | M | M-L | H | H | VH</x:v>
      </x:c>
      <x:c r="H78" s="203" t="str">
        <x:v>Wayfarer</x:v>
      </x:c>
      <x:c r="I78" s="203" t="str">
        <x:v>Foresight</x:v>
      </x:c>
      <x:c r="J78" s="203" t="str">
        <x:v>Keen Sense</x:v>
      </x:c>
      <x:c r="K78" s="204" t="n">
        <x:v>70</x:v>
      </x:c>
      <x:c r="L78" s="204" t="n">
        <x:v>70</x:v>
      </x:c>
      <x:c r="M78" s="204" t="n">
        <x:v>55</x:v>
      </x:c>
      <x:c r="N78" s="204" t="n">
        <x:v>95</x:v>
      </x:c>
      <x:c r="O78" s="204" t="n">
        <x:v>95</x:v>
      </x:c>
      <x:c r="P78" s="204" t="n">
        <x:v>115</x:v>
      </x:c>
      <x:c r="Q78" s="204" t="n">
        <x:f>SUM(K78:P78)</x:f>
        <x:v>500</x:v>
      </x:c>
      <x:c r="R78" s="204" t="n">
        <x:v>500</x:v>
      </x:c>
      <x:c r="S78" s="204" t="n">
        <x:f>Q78-R78</x:f>
        <x:v>0</x:v>
      </x:c>
      <x:c r="T78" s="203" t="str">
        <x:v>Leans on Speed; gives up Defense to preserve the handoff profile M | M | M-L | H | H | VH.</x:v>
      </x:c>
      <x:c r="U78" s="203" t="str">
        <x:v>Standard</x:v>
      </x:c>
      <x:c r="V78" s="203" t="str">
        <x:v>Standard</x:v>
      </x:c>
      <x:c r="W78" s="203" t="str">
        <x:v>Standard</x:v>
      </x:c>
      <x:c r="X78" s="205" t="str">
        <x:v>187-Monster Ability &amp; BST Design Handoff</x:v>
      </x:c>
    </x:row>
    <x:row r="79">
      <x:c r="A79" s="202" t="n">
        <x:v>77</x:v>
      </x:c>
      <x:c r="B79" s="203" t="str">
        <x:v>Saltinel</x:v>
      </x:c>
      <x:c r="C79" s="203" t="str">
        <x:v>Rock</x:v>
      </x:c>
      <x:c r="D79" s="203" t="str"/>
      <x:c r="E79" s="203" t="str">
        <x:v>Holy-stone Stage 1</x:v>
      </x:c>
      <x:c r="F79" s="203" t="str">
        <x:v>Base / Early</x:v>
      </x:c>
      <x:c r="G79" s="203" t="str">
        <x:v>M-H | M | H | L | M-H | L</x:v>
      </x:c>
      <x:c r="H79" s="203" t="str">
        <x:v>Toxinproof</x:v>
      </x:c>
      <x:c r="I79" s="203" t="str">
        <x:v>Stoneplate</x:v>
      </x:c>
      <x:c r="J79" s="203" t="str">
        <x:v>Reservoir</x:v>
      </x:c>
      <x:c r="K79" s="204" t="n">
        <x:v>60</x:v>
      </x:c>
      <x:c r="L79" s="204" t="n">
        <x:v>50</x:v>
      </x:c>
      <x:c r="M79" s="204" t="n">
        <x:v>70</x:v>
      </x:c>
      <x:c r="N79" s="204" t="n">
        <x:v>30</x:v>
      </x:c>
      <x:c r="O79" s="204" t="n">
        <x:v>60</x:v>
      </x:c>
      <x:c r="P79" s="204" t="n">
        <x:v>35</x:v>
      </x:c>
      <x:c r="Q79" s="204" t="n">
        <x:f>SUM(K79:P79)</x:f>
        <x:v>305</x:v>
      </x:c>
      <x:c r="R79" s="204" t="n">
        <x:v>305</x:v>
      </x:c>
      <x:c r="S79" s="204" t="n">
        <x:f>Q79-R79</x:f>
        <x:v>0</x:v>
      </x:c>
      <x:c r="T79" s="203" t="str">
        <x:v>Leans on Defense; gives up Sp. Atk / Speed to preserve the handoff profile M-H | M | H | L | M-H | L.</x:v>
      </x:c>
      <x:c r="U79" s="203" t="str">
        <x:v>Standard</x:v>
      </x:c>
      <x:c r="V79" s="203" t="str">
        <x:v>Standard</x:v>
      </x:c>
      <x:c r="W79" s="203" t="str">
        <x:v>Rare</x:v>
      </x:c>
      <x:c r="X79" s="205" t="str">
        <x:v>187-Monster Ability &amp; BST Design Handoff</x:v>
      </x:c>
    </x:row>
    <x:row r="80">
      <x:c r="A80" s="202" t="n">
        <x:v>78</x:v>
      </x:c>
      <x:c r="B80" s="203" t="str">
        <x:v>Bethlisk</x:v>
      </x:c>
      <x:c r="C80" s="203" t="str">
        <x:v>Rock</x:v>
      </x:c>
      <x:c r="D80" s="203" t="str">
        <x:v>Water</x:v>
      </x:c>
      <x:c r="E80" s="203" t="str">
        <x:v>Holy-stone Final</x:v>
      </x:c>
      <x:c r="F80" s="203" t="str">
        <x:v>Standard Final</x:v>
      </x:c>
      <x:c r="G80" s="203" t="str">
        <x:v>H | H | H | M | H | L</x:v>
      </x:c>
      <x:c r="H80" s="203" t="str">
        <x:v>Toxinproof</x:v>
      </x:c>
      <x:c r="I80" s="203" t="str">
        <x:v>Reservoir</x:v>
      </x:c>
      <x:c r="J80" s="203" t="str">
        <x:v>Medicinal Sap</x:v>
      </x:c>
      <x:c r="K80" s="204" t="n">
        <x:v>95</x:v>
      </x:c>
      <x:c r="L80" s="204" t="n">
        <x:v>95</x:v>
      </x:c>
      <x:c r="M80" s="204" t="n">
        <x:v>95</x:v>
      </x:c>
      <x:c r="N80" s="204" t="n">
        <x:v>70</x:v>
      </x:c>
      <x:c r="O80" s="204" t="n">
        <x:v>100</x:v>
      </x:c>
      <x:c r="P80" s="204" t="n">
        <x:v>45</x:v>
      </x:c>
      <x:c r="Q80" s="204" t="n">
        <x:f>SUM(K80:P80)</x:f>
        <x:v>500</x:v>
      </x:c>
      <x:c r="R80" s="204" t="n">
        <x:v>500</x:v>
      </x:c>
      <x:c r="S80" s="204" t="n">
        <x:f>Q80-R80</x:f>
        <x:v>0</x:v>
      </x:c>
      <x:c r="T80" s="203" t="str">
        <x:v>Leans on Sp. Def / HP; gives up Speed to preserve the handoff profile H | H | H | M | H | L.</x:v>
      </x:c>
      <x:c r="U80" s="203" t="str">
        <x:v>Standard</x:v>
      </x:c>
      <x:c r="V80" s="203" t="str">
        <x:v>Rare</x:v>
      </x:c>
      <x:c r="W80" s="203" t="str">
        <x:v>Standard</x:v>
      </x:c>
      <x:c r="X80" s="205" t="str">
        <x:v>187-Monster Ability &amp; BST Design Handoff</x:v>
      </x:c>
    </x:row>
    <x:row r="81">
      <x:c r="A81" s="202" t="n">
        <x:v>79</x:v>
      </x:c>
      <x:c r="B81" s="203" t="str">
        <x:v>Foamwhelp</x:v>
      </x:c>
      <x:c r="C81" s="203" t="str">
        <x:v>Water</x:v>
      </x:c>
      <x:c r="D81" s="203" t="str"/>
      <x:c r="E81" s="203" t="str">
        <x:v>Heroic Sea-lion Stage 1</x:v>
      </x:c>
      <x:c r="F81" s="203" t="str">
        <x:v>Base / Early</x:v>
      </x:c>
      <x:c r="G81" s="203" t="str">
        <x:v>M-H | H | M | L | M | M</x:v>
      </x:c>
      <x:c r="H81" s="203" t="str">
        <x:v>Countercharge</x:v>
      </x:c>
      <x:c r="I81" s="203" t="str">
        <x:v>First Strike</x:v>
      </x:c>
      <x:c r="J81" s="203" t="str">
        <x:v>Protector</x:v>
      </x:c>
      <x:c r="K81" s="204" t="n">
        <x:v>60</x:v>
      </x:c>
      <x:c r="L81" s="204" t="n">
        <x:v>70</x:v>
      </x:c>
      <x:c r="M81" s="204" t="n">
        <x:v>50</x:v>
      </x:c>
      <x:c r="N81" s="204" t="n">
        <x:v>30</x:v>
      </x:c>
      <x:c r="O81" s="204" t="n">
        <x:v>50</x:v>
      </x:c>
      <x:c r="P81" s="204" t="n">
        <x:v>50</x:v>
      </x:c>
      <x:c r="Q81" s="204" t="n">
        <x:f>SUM(K81:P81)</x:f>
        <x:v>310</x:v>
      </x:c>
      <x:c r="R81" s="204" t="n">
        <x:v>310</x:v>
      </x:c>
      <x:c r="S81" s="204" t="n">
        <x:f>Q81-R81</x:f>
        <x:v>0</x:v>
      </x:c>
      <x:c r="T81" s="203" t="str">
        <x:v>Leans on Attack; gives up Sp. Atk to preserve the handoff profile M-H | H | M | L | M | M.</x:v>
      </x:c>
      <x:c r="U81" s="203" t="str">
        <x:v>Standard</x:v>
      </x:c>
      <x:c r="V81" s="203" t="str">
        <x:v>Standard</x:v>
      </x:c>
      <x:c r="W81" s="203" t="str">
        <x:v>Standard</x:v>
      </x:c>
      <x:c r="X81" s="205" t="str">
        <x:v>187-Monster Ability &amp; BST Design Handoff</x:v>
      </x:c>
    </x:row>
    <x:row r="82">
      <x:c r="A82" s="202" t="n">
        <x:v>80</x:v>
      </x:c>
      <x:c r="B82" s="203" t="str">
        <x:v>Liontide</x:v>
      </x:c>
      <x:c r="C82" s="203" t="str">
        <x:v>Water</x:v>
      </x:c>
      <x:c r="D82" s="203" t="str">
        <x:v>Fighting</x:v>
      </x:c>
      <x:c r="E82" s="203" t="str">
        <x:v>Heroic Sea-lion Final</x:v>
      </x:c>
      <x:c r="F82" s="203" t="str">
        <x:v>Elite Final</x:v>
      </x:c>
      <x:c r="G82" s="203" t="str">
        <x:v>H | VH | H | L | M-H | M</x:v>
      </x:c>
      <x:c r="H82" s="203" t="str">
        <x:v>Countercharge</x:v>
      </x:c>
      <x:c r="I82" s="203" t="str">
        <x:v>Hard Head</x:v>
      </x:c>
      <x:c r="J82" s="203" t="str">
        <x:v>Battle Nerve</x:v>
      </x:c>
      <x:c r="K82" s="204" t="n">
        <x:v>100</x:v>
      </x:c>
      <x:c r="L82" s="204" t="n">
        <x:v>120</x:v>
      </x:c>
      <x:c r="M82" s="204" t="n">
        <x:v>100</x:v>
      </x:c>
      <x:c r="N82" s="204" t="n">
        <x:v>45</x:v>
      </x:c>
      <x:c r="O82" s="204" t="n">
        <x:v>85</x:v>
      </x:c>
      <x:c r="P82" s="204" t="n">
        <x:v>75</x:v>
      </x:c>
      <x:c r="Q82" s="204" t="n">
        <x:f>SUM(K82:P82)</x:f>
        <x:v>525</x:v>
      </x:c>
      <x:c r="R82" s="204" t="n">
        <x:v>525</x:v>
      </x:c>
      <x:c r="S82" s="204" t="n">
        <x:f>Q82-R82</x:f>
        <x:v>0</x:v>
      </x:c>
      <x:c r="T82" s="203" t="str">
        <x:v>Leans on Attack; gives up Sp. Atk to preserve the handoff profile H | VH | H | L | M-H | M.</x:v>
      </x:c>
      <x:c r="U82" s="203" t="str">
        <x:v>Standard</x:v>
      </x:c>
      <x:c r="V82" s="203" t="str">
        <x:v>Standard</x:v>
      </x:c>
      <x:c r="W82" s="203" t="str">
        <x:v>Standard</x:v>
      </x:c>
      <x:c r="X82" s="205" t="str">
        <x:v>187-Monster Ability &amp; BST Design Handoff</x:v>
      </x:c>
    </x:row>
    <x:row r="83">
      <x:c r="A83" s="202" t="n">
        <x:v>81</x:v>
      </x:c>
      <x:c r="B83" s="203" t="str">
        <x:v>Dunetuft</x:v>
      </x:c>
      <x:c r="C83" s="203" t="str">
        <x:v>Ground</x:v>
      </x:c>
      <x:c r="D83" s="203" t="str"/>
      <x:c r="E83" s="203" t="str">
        <x:v>Diplomat Cat Stage 1</x:v>
      </x:c>
      <x:c r="F83" s="203" t="str">
        <x:v>Base / Early</x:v>
      </x:c>
      <x:c r="G83" s="203" t="str">
        <x:v>M-L | M | L-M | M | M-H | H</x:v>
      </x:c>
      <x:c r="H83" s="203" t="str">
        <x:v>Foresight</x:v>
      </x:c>
      <x:c r="I83" s="203" t="str">
        <x:v>Patience</x:v>
      </x:c>
      <x:c r="J83" s="203" t="str">
        <x:v>Truce</x:v>
      </x:c>
      <x:c r="K83" s="204" t="n">
        <x:v>40</x:v>
      </x:c>
      <x:c r="L83" s="204" t="n">
        <x:v>50</x:v>
      </x:c>
      <x:c r="M83" s="204" t="n">
        <x:v>40</x:v>
      </x:c>
      <x:c r="N83" s="204" t="n">
        <x:v>50</x:v>
      </x:c>
      <x:c r="O83" s="204" t="n">
        <x:v>60</x:v>
      </x:c>
      <x:c r="P83" s="204" t="n">
        <x:v>65</x:v>
      </x:c>
      <x:c r="Q83" s="204" t="n">
        <x:f>SUM(K83:P83)</x:f>
        <x:v>305</x:v>
      </x:c>
      <x:c r="R83" s="204" t="n">
        <x:v>305</x:v>
      </x:c>
      <x:c r="S83" s="204" t="n">
        <x:f>Q83-R83</x:f>
        <x:v>0</x:v>
      </x:c>
      <x:c r="T83" s="203" t="str">
        <x:v>Leans on Speed / Sp. Def; gives up HP / Defense to preserve the handoff profile M-L | M | L-M | M | M-H | H.</x:v>
      </x:c>
      <x:c r="U83" s="203" t="str">
        <x:v>Standard</x:v>
      </x:c>
      <x:c r="V83" s="203" t="str">
        <x:v>Standard</x:v>
      </x:c>
      <x:c r="W83" s="203" t="str">
        <x:v>Standard</x:v>
      </x:c>
      <x:c r="X83" s="205" t="str">
        <x:v>187-Monster Ability &amp; BST Design Handoff</x:v>
      </x:c>
    </x:row>
    <x:row r="84">
      <x:c r="A84" s="202" t="n">
        <x:v>82</x:v>
      </x:c>
      <x:c r="B84" s="203" t="str">
        <x:v>Accordacal</x:v>
      </x:c>
      <x:c r="C84" s="203" t="str">
        <x:v>Ground</x:v>
      </x:c>
      <x:c r="D84" s="203" t="str">
        <x:v>Psychic</x:v>
      </x:c>
      <x:c r="E84" s="203" t="str">
        <x:v>Diplomat Cat Final</x:v>
      </x:c>
      <x:c r="F84" s="203" t="str">
        <x:v>Standard Final</x:v>
      </x:c>
      <x:c r="G84" s="203" t="str">
        <x:v>M-H | M-H | M | H | H | H</x:v>
      </x:c>
      <x:c r="H84" s="203" t="str">
        <x:v>Foresight</x:v>
      </x:c>
      <x:c r="I84" s="203" t="str">
        <x:v>Patience</x:v>
      </x:c>
      <x:c r="J84" s="203" t="str">
        <x:v>Truce</x:v>
      </x:c>
      <x:c r="K84" s="204" t="n">
        <x:v>80</x:v>
      </x:c>
      <x:c r="L84" s="204" t="n">
        <x:v>85</x:v>
      </x:c>
      <x:c r="M84" s="204" t="n">
        <x:v>70</x:v>
      </x:c>
      <x:c r="N84" s="204" t="n">
        <x:v>95</x:v>
      </x:c>
      <x:c r="O84" s="204" t="n">
        <x:v>95</x:v>
      </x:c>
      <x:c r="P84" s="204" t="n">
        <x:v>95</x:v>
      </x:c>
      <x:c r="Q84" s="204" t="n">
        <x:f>SUM(K84:P84)</x:f>
        <x:v>520</x:v>
      </x:c>
      <x:c r="R84" s="204" t="n">
        <x:v>520</x:v>
      </x:c>
      <x:c r="S84" s="204" t="n">
        <x:f>Q84-R84</x:f>
        <x:v>0</x:v>
      </x:c>
      <x:c r="T84" s="203" t="str">
        <x:v>Leans on Sp. Atk / Sp. Def; gives up Defense to preserve the handoff profile M-H | M-H | M | H | H | H.</x:v>
      </x:c>
      <x:c r="U84" s="203" t="str">
        <x:v>Standard</x:v>
      </x:c>
      <x:c r="V84" s="203" t="str">
        <x:v>Standard</x:v>
      </x:c>
      <x:c r="W84" s="203" t="str">
        <x:v>Standard</x:v>
      </x:c>
      <x:c r="X84" s="205" t="str">
        <x:v>187-Monster Ability &amp; BST Design Handoff</x:v>
      </x:c>
    </x:row>
    <x:row r="85">
      <x:c r="A85" s="202" t="n">
        <x:v>83</x:v>
      </x:c>
      <x:c r="B85" s="203" t="str">
        <x:v>Rufram</x:v>
      </x:c>
      <x:c r="C85" s="203" t="str">
        <x:v>Fire</x:v>
      </x:c>
      <x:c r="D85" s="203" t="str"/>
      <x:c r="E85" s="203" t="str">
        <x:v>Red-beard Ram Stage 1</x:v>
      </x:c>
      <x:c r="F85" s="203" t="str">
        <x:v>Base / Early</x:v>
      </x:c>
      <x:c r="G85" s="203" t="str">
        <x:v>M-H | H | M-H | L-M | M | L-M</x:v>
      </x:c>
      <x:c r="H85" s="203" t="str">
        <x:v>Protector</x:v>
      </x:c>
      <x:c r="I85" s="203" t="str">
        <x:v>Cinderhide</x:v>
      </x:c>
      <x:c r="J85" s="203" t="str">
        <x:v>Steamheart</x:v>
      </x:c>
      <x:c r="K85" s="204" t="n">
        <x:v>60</x:v>
      </x:c>
      <x:c r="L85" s="204" t="n">
        <x:v>65</x:v>
      </x:c>
      <x:c r="M85" s="204" t="n">
        <x:v>60</x:v>
      </x:c>
      <x:c r="N85" s="204" t="n">
        <x:v>40</x:v>
      </x:c>
      <x:c r="O85" s="204" t="n">
        <x:v>50</x:v>
      </x:c>
      <x:c r="P85" s="204" t="n">
        <x:v>40</x:v>
      </x:c>
      <x:c r="Q85" s="204" t="n">
        <x:f>SUM(K85:P85)</x:f>
        <x:v>315</x:v>
      </x:c>
      <x:c r="R85" s="204" t="n">
        <x:v>315</x:v>
      </x:c>
      <x:c r="S85" s="204" t="n">
        <x:f>Q85-R85</x:f>
        <x:v>0</x:v>
      </x:c>
      <x:c r="T85" s="203" t="str">
        <x:v>Leans on Attack / HP; gives up Sp. Atk / Speed to preserve the handoff profile M-H | H | M-H | L-M | M | L-M.</x:v>
      </x:c>
      <x:c r="U85" s="203" t="str">
        <x:v>Standard</x:v>
      </x:c>
      <x:c r="V85" s="203" t="str">
        <x:v>Standard</x:v>
      </x:c>
      <x:c r="W85" s="203" t="str">
        <x:v>Rare</x:v>
      </x:c>
      <x:c r="X85" s="205" t="str">
        <x:v>187-Monster Ability &amp; BST Design Handoff</x:v>
      </x:c>
    </x:row>
    <x:row r="86">
      <x:c r="A86" s="202" t="n">
        <x:v>84</x:v>
      </x:c>
      <x:c r="B86" s="203" t="str">
        <x:v>Fordossa</x:v>
      </x:c>
      <x:c r="C86" s="203" t="str">
        <x:v>Fire</x:v>
      </x:c>
      <x:c r="D86" s="203" t="str">
        <x:v>Ghost</x:v>
      </x:c>
      <x:c r="E86" s="203" t="str">
        <x:v>Drowned-flame Final</x:v>
      </x:c>
      <x:c r="F86" s="203" t="str">
        <x:v>Standard Final</x:v>
      </x:c>
      <x:c r="G86" s="203" t="str">
        <x:v>H | H | H | H | M-H | L-M</x:v>
      </x:c>
      <x:c r="H86" s="203" t="str">
        <x:v>Protector</x:v>
      </x:c>
      <x:c r="I86" s="203" t="str">
        <x:v>Cinderhide</x:v>
      </x:c>
      <x:c r="J86" s="203" t="str">
        <x:v>Steamheart</x:v>
      </x:c>
      <x:c r="K86" s="204" t="n">
        <x:v>95</x:v>
      </x:c>
      <x:c r="L86" s="204" t="n">
        <x:v>95</x:v>
      </x:c>
      <x:c r="M86" s="204" t="n">
        <x:v>95</x:v>
      </x:c>
      <x:c r="N86" s="204" t="n">
        <x:v>95</x:v>
      </x:c>
      <x:c r="O86" s="204" t="n">
        <x:v>80</x:v>
      </x:c>
      <x:c r="P86" s="204" t="n">
        <x:v>55</x:v>
      </x:c>
      <x:c r="Q86" s="204" t="n">
        <x:f>SUM(K86:P86)</x:f>
        <x:v>515</x:v>
      </x:c>
      <x:c r="R86" s="204" t="n">
        <x:v>515</x:v>
      </x:c>
      <x:c r="S86" s="204" t="n">
        <x:f>Q86-R86</x:f>
        <x:v>0</x:v>
      </x:c>
      <x:c r="T86" s="203" t="str">
        <x:v>Leans on HP / Attack; gives up Speed to preserve the handoff profile H | H | H | H | M-H | L-M.</x:v>
      </x:c>
      <x:c r="U86" s="203" t="str">
        <x:v>Standard</x:v>
      </x:c>
      <x:c r="V86" s="203" t="str">
        <x:v>Standard</x:v>
      </x:c>
      <x:c r="W86" s="203" t="str">
        <x:v>Rare</x:v>
      </x:c>
      <x:c r="X86" s="205" t="str">
        <x:v>187-Monster Ability &amp; BST Design Handoff</x:v>
      </x:c>
    </x:row>
    <x:row r="87">
      <x:c r="A87" s="202" t="n">
        <x:v>85</x:v>
      </x:c>
      <x:c r="B87" s="203" t="str">
        <x:v>Tyrquill</x:v>
      </x:c>
      <x:c r="C87" s="203" t="str">
        <x:v>Steel</x:v>
      </x:c>
      <x:c r="D87" s="203" t="str"/>
      <x:c r="E87" s="203" t="str">
        <x:v>Fortress Stage 1</x:v>
      </x:c>
      <x:c r="F87" s="203" t="str">
        <x:v>Base / Early</x:v>
      </x:c>
      <x:c r="G87" s="203" t="str">
        <x:v>M | M | VH | L | M | L</x:v>
      </x:c>
      <x:c r="H87" s="203" t="str">
        <x:v>Thornhide</x:v>
      </x:c>
      <x:c r="I87" s="203" t="str">
        <x:v>Stoneplate</x:v>
      </x:c>
      <x:c r="J87" s="203" t="str">
        <x:v>Gatekeeper</x:v>
      </x:c>
      <x:c r="K87" s="204" t="n">
        <x:v>50</x:v>
      </x:c>
      <x:c r="L87" s="204" t="n">
        <x:v>50</x:v>
      </x:c>
      <x:c r="M87" s="204" t="n">
        <x:v>90</x:v>
      </x:c>
      <x:c r="N87" s="204" t="n">
        <x:v>35</x:v>
      </x:c>
      <x:c r="O87" s="204" t="n">
        <x:v>55</x:v>
      </x:c>
      <x:c r="P87" s="204" t="n">
        <x:v>35</x:v>
      </x:c>
      <x:c r="Q87" s="204" t="n">
        <x:f>SUM(K87:P87)</x:f>
        <x:v>315</x:v>
      </x:c>
      <x:c r="R87" s="204" t="n">
        <x:v>315</x:v>
      </x:c>
      <x:c r="S87" s="204" t="n">
        <x:f>Q87-R87</x:f>
        <x:v>0</x:v>
      </x:c>
      <x:c r="T87" s="203" t="str">
        <x:v>Leans on Defense; gives up Sp. Atk / Speed to preserve the handoff profile M | M | VH | L | M | L.</x:v>
      </x:c>
      <x:c r="U87" s="203" t="str">
        <x:v>Standard</x:v>
      </x:c>
      <x:c r="V87" s="203" t="str">
        <x:v>Standard</x:v>
      </x:c>
      <x:c r="W87" s="203" t="str">
        <x:v>Rare</x:v>
      </x:c>
      <x:c r="X87" s="205" t="str">
        <x:v>187-Monster Ability &amp; BST Design Handoff</x:v>
      </x:c>
    </x:row>
    <x:row r="88">
      <x:c r="A88" s="202" t="n">
        <x:v>86</x:v>
      </x:c>
      <x:c r="B88" s="203" t="str">
        <x:v>Wraithrone</x:v>
      </x:c>
      <x:c r="C88" s="203" t="str">
        <x:v>Steel</x:v>
      </x:c>
      <x:c r="D88" s="203" t="str">
        <x:v>Ghost</x:v>
      </x:c>
      <x:c r="E88" s="203" t="str">
        <x:v>Uncrowned Final</x:v>
      </x:c>
      <x:c r="F88" s="203" t="str">
        <x:v>Standard Final</x:v>
      </x:c>
      <x:c r="G88" s="203" t="str">
        <x:v>H | H | VH | L-M | H | L</x:v>
      </x:c>
      <x:c r="H88" s="203" t="str">
        <x:v>Thornhide</x:v>
      </x:c>
      <x:c r="I88" s="203" t="str">
        <x:v>Stoneplate</x:v>
      </x:c>
      <x:c r="J88" s="203" t="str">
        <x:v>Gatekeeper</x:v>
      </x:c>
      <x:c r="K88" s="204" t="n">
        <x:v>100</x:v>
      </x:c>
      <x:c r="L88" s="204" t="n">
        <x:v>100</x:v>
      </x:c>
      <x:c r="M88" s="204" t="n">
        <x:v>120</x:v>
      </x:c>
      <x:c r="N88" s="204" t="n">
        <x:v>60</x:v>
      </x:c>
      <x:c r="O88" s="204" t="n">
        <x:v>95</x:v>
      </x:c>
      <x:c r="P88" s="204" t="n">
        <x:v>45</x:v>
      </x:c>
      <x:c r="Q88" s="204" t="n">
        <x:f>SUM(K88:P88)</x:f>
        <x:v>520</x:v>
      </x:c>
      <x:c r="R88" s="204" t="n">
        <x:v>520</x:v>
      </x:c>
      <x:c r="S88" s="204" t="n">
        <x:f>Q88-R88</x:f>
        <x:v>0</x:v>
      </x:c>
      <x:c r="T88" s="203" t="str">
        <x:v>Leans on Defense; gives up Speed to preserve the handoff profile H | H | VH | L-M | H | L.</x:v>
      </x:c>
      <x:c r="U88" s="203" t="str">
        <x:v>Standard</x:v>
      </x:c>
      <x:c r="V88" s="203" t="str">
        <x:v>Standard</x:v>
      </x:c>
      <x:c r="W88" s="203" t="str">
        <x:v>Rare</x:v>
      </x:c>
      <x:c r="X88" s="205" t="str">
        <x:v>187-Monster Ability &amp; BST Design Handoff</x:v>
      </x:c>
    </x:row>
    <x:row r="89">
      <x:c r="A89" s="202" t="n">
        <x:v>87</x:v>
      </x:c>
      <x:c r="B89" s="203" t="str">
        <x:v>Regulet</x:v>
      </x:c>
      <x:c r="C89" s="203" t="str">
        <x:v>Normal</x:v>
      </x:c>
      <x:c r="D89" s="203" t="str"/>
      <x:c r="E89" s="203" t="str">
        <x:v>Crown Chameleon Stage 1</x:v>
      </x:c>
      <x:c r="F89" s="203" t="str">
        <x:v>Base / Early</x:v>
      </x:c>
      <x:c r="G89" s="203" t="str">
        <x:v>M | M | M | M | M | M</x:v>
      </x:c>
      <x:c r="H89" s="203" t="str">
        <x:v>Camouflage</x:v>
      </x:c>
      <x:c r="I89" s="203" t="str">
        <x:v>Adaptable Hide</x:v>
      </x:c>
      <x:c r="J89" s="203" t="str">
        <x:v>Wayfarer</x:v>
      </x:c>
      <x:c r="K89" s="204" t="n">
        <x:v>50</x:v>
      </x:c>
      <x:c r="L89" s="204" t="n">
        <x:v>50</x:v>
      </x:c>
      <x:c r="M89" s="204" t="n">
        <x:v>55</x:v>
      </x:c>
      <x:c r="N89" s="204" t="n">
        <x:v>50</x:v>
      </x:c>
      <x:c r="O89" s="204" t="n">
        <x:v>50</x:v>
      </x:c>
      <x:c r="P89" s="204" t="n">
        <x:v>50</x:v>
      </x:c>
      <x:c r="Q89" s="204" t="n">
        <x:f>SUM(K89:P89)</x:f>
        <x:v>305</x:v>
      </x:c>
      <x:c r="R89" s="204" t="n">
        <x:v>305</x:v>
      </x:c>
      <x:c r="S89" s="204" t="n">
        <x:f>Q89-R89</x:f>
        <x:v>0</x:v>
      </x:c>
      <x:c r="T89" s="203" t="str">
        <x:v>Leans on Defense / HP; gives up HP / Attack to preserve the handoff profile M | M | M | M | M | M.</x:v>
      </x:c>
      <x:c r="U89" s="203" t="str">
        <x:v>Standard</x:v>
      </x:c>
      <x:c r="V89" s="203" t="str">
        <x:v>Standard</x:v>
      </x:c>
      <x:c r="W89" s="203" t="str">
        <x:v>Standard</x:v>
      </x:c>
      <x:c r="X89" s="205" t="str">
        <x:v>187-Monster Ability &amp; BST Design Handoff</x:v>
      </x:c>
    </x:row>
    <x:row r="90">
      <x:c r="A90" s="202" t="n">
        <x:v>88</x:v>
      </x:c>
      <x:c r="B90" s="203" t="str">
        <x:v>Thronelorn</x:v>
      </x:c>
      <x:c r="C90" s="203" t="str">
        <x:v>Dark</x:v>
      </x:c>
      <x:c r="D90" s="203" t="str"/>
      <x:c r="E90" s="203" t="str">
        <x:v>Crown Chameleon Stage 2</x:v>
      </x:c>
      <x:c r="F90" s="203" t="str">
        <x:v>Middle / Evolving</x:v>
      </x:c>
      <x:c r="G90" s="203" t="str">
        <x:v>M | M | M | M-H | H | M-H</x:v>
      </x:c>
      <x:c r="H90" s="203" t="str">
        <x:v>Camouflage</x:v>
      </x:c>
      <x:c r="I90" s="203" t="str">
        <x:v>Adaptable Hide</x:v>
      </x:c>
      <x:c r="J90" s="203" t="str">
        <x:v>Ambush</x:v>
      </x:c>
      <x:c r="K90" s="204" t="n">
        <x:v>60</x:v>
      </x:c>
      <x:c r="L90" s="204" t="n">
        <x:v>60</x:v>
      </x:c>
      <x:c r="M90" s="204" t="n">
        <x:v>60</x:v>
      </x:c>
      <x:c r="N90" s="204" t="n">
        <x:v>70</x:v>
      </x:c>
      <x:c r="O90" s="204" t="n">
        <x:v>85</x:v>
      </x:c>
      <x:c r="P90" s="204" t="n">
        <x:v>70</x:v>
      </x:c>
      <x:c r="Q90" s="204" t="n">
        <x:f>SUM(K90:P90)</x:f>
        <x:v>405</x:v>
      </x:c>
      <x:c r="R90" s="204" t="n">
        <x:v>405</x:v>
      </x:c>
      <x:c r="S90" s="204" t="n">
        <x:f>Q90-R90</x:f>
        <x:v>0</x:v>
      </x:c>
      <x:c r="T90" s="203" t="str">
        <x:v>Leans on Sp. Def; gives up HP / Attack to preserve the handoff profile M | M | M | M-H | H | M-H.</x:v>
      </x:c>
      <x:c r="U90" s="203" t="str">
        <x:v>Standard</x:v>
      </x:c>
      <x:c r="V90" s="203" t="str">
        <x:v>Standard</x:v>
      </x:c>
      <x:c r="W90" s="203" t="str">
        <x:v>Standard</x:v>
      </x:c>
      <x:c r="X90" s="205" t="str">
        <x:v>187-Monster Ability &amp; BST Design Handoff</x:v>
      </x:c>
    </x:row>
    <x:row r="91">
      <x:c r="A91" s="202" t="n">
        <x:v>89</x:v>
      </x:c>
      <x:c r="B91" s="203" t="str">
        <x:v>Cyprigon</x:v>
      </x:c>
      <x:c r="C91" s="203" t="str">
        <x:v>Ground</x:v>
      </x:c>
      <x:c r="D91" s="203" t="str">
        <x:v>Dragon</x:v>
      </x:c>
      <x:c r="E91" s="203" t="str">
        <x:v>Crown Chameleon Final</x:v>
      </x:c>
      <x:c r="F91" s="203" t="str">
        <x:v>Elite Final</x:v>
      </x:c>
      <x:c r="G91" s="203" t="str">
        <x:v>H | H | H | M-H | H | M</x:v>
      </x:c>
      <x:c r="H91" s="203" t="str">
        <x:v>Firm Stance</x:v>
      </x:c>
      <x:c r="I91" s="203" t="str">
        <x:v>Adaptable Hide</x:v>
      </x:c>
      <x:c r="J91" s="203" t="str">
        <x:v>Sandcoat</x:v>
      </x:c>
      <x:c r="K91" s="204" t="n">
        <x:v>95</x:v>
      </x:c>
      <x:c r="L91" s="204" t="n">
        <x:v>95</x:v>
      </x:c>
      <x:c r="M91" s="204" t="n">
        <x:v>95</x:v>
      </x:c>
      <x:c r="N91" s="204" t="n">
        <x:v>85</x:v>
      </x:c>
      <x:c r="O91" s="204" t="n">
        <x:v>95</x:v>
      </x:c>
      <x:c r="P91" s="204" t="n">
        <x:v>70</x:v>
      </x:c>
      <x:c r="Q91" s="204" t="n">
        <x:f>SUM(K91:P91)</x:f>
        <x:v>535</x:v>
      </x:c>
      <x:c r="R91" s="204" t="n">
        <x:v>535</x:v>
      </x:c>
      <x:c r="S91" s="204" t="n">
        <x:f>Q91-R91</x:f>
        <x:v>0</x:v>
      </x:c>
      <x:c r="T91" s="203" t="str">
        <x:v>Leans on HP / Attack; gives up Speed to preserve the handoff profile H | H | H | M-H | H | M.</x:v>
      </x:c>
      <x:c r="U91" s="203" t="str">
        <x:v>Standard</x:v>
      </x:c>
      <x:c r="V91" s="203" t="str">
        <x:v>Standard</x:v>
      </x:c>
      <x:c r="W91" s="203" t="str">
        <x:v>Standard</x:v>
      </x:c>
      <x:c r="X91" s="205" t="str">
        <x:v>187-Monster Ability &amp; BST Design Handoff</x:v>
      </x:c>
    </x:row>
    <x:row r="92">
      <x:c r="A92" s="202" t="n">
        <x:v>90</x:v>
      </x:c>
      <x:c r="B92" s="203" t="str">
        <x:v>Oathlet</x:v>
      </x:c>
      <x:c r="C92" s="203" t="str">
        <x:v>Normal</x:v>
      </x:c>
      <x:c r="D92" s="203" t="str"/>
      <x:c r="E92" s="203" t="str">
        <x:v>Parley Hedgehog Stage 1</x:v>
      </x:c>
      <x:c r="F92" s="203" t="str">
        <x:v>Base / Early</x:v>
      </x:c>
      <x:c r="G92" s="203" t="str">
        <x:v>M | L-M | M-H | L | H | L-M</x:v>
      </x:c>
      <x:c r="H92" s="203" t="str">
        <x:v>Calm Guard</x:v>
      </x:c>
      <x:c r="I92" s="203" t="str">
        <x:v>Firm Stance</x:v>
      </x:c>
      <x:c r="J92" s="203" t="str">
        <x:v>Truce</x:v>
      </x:c>
      <x:c r="K92" s="204" t="n">
        <x:v>50</x:v>
      </x:c>
      <x:c r="L92" s="204" t="n">
        <x:v>40</x:v>
      </x:c>
      <x:c r="M92" s="204" t="n">
        <x:v>60</x:v>
      </x:c>
      <x:c r="N92" s="204" t="n">
        <x:v>35</x:v>
      </x:c>
      <x:c r="O92" s="204" t="n">
        <x:v>70</x:v>
      </x:c>
      <x:c r="P92" s="204" t="n">
        <x:v>45</x:v>
      </x:c>
      <x:c r="Q92" s="204" t="n">
        <x:f>SUM(K92:P92)</x:f>
        <x:v>300</x:v>
      </x:c>
      <x:c r="R92" s="204" t="n">
        <x:v>300</x:v>
      </x:c>
      <x:c r="S92" s="204" t="n">
        <x:f>Q92-R92</x:f>
        <x:v>0</x:v>
      </x:c>
      <x:c r="T92" s="203" t="str">
        <x:v>Leans on Sp. Def; gives up Attack / Sp. Atk to preserve the handoff profile M | L-M | M-H | L | H | L-M.</x:v>
      </x:c>
      <x:c r="U92" s="203" t="str">
        <x:v>Standard</x:v>
      </x:c>
      <x:c r="V92" s="203" t="str">
        <x:v>Standard</x:v>
      </x:c>
      <x:c r="W92" s="203" t="str">
        <x:v>Standard</x:v>
      </x:c>
      <x:c r="X92" s="205" t="str">
        <x:v>187-Monster Ability &amp; BST Design Handoff</x:v>
      </x:c>
    </x:row>
    <x:row r="93">
      <x:c r="A93" s="202" t="n">
        <x:v>91</x:v>
      </x:c>
      <x:c r="B93" s="203" t="str">
        <x:v>Parlethorn</x:v>
      </x:c>
      <x:c r="C93" s="203" t="str">
        <x:v>Steel</x:v>
      </x:c>
      <x:c r="D93" s="203" t="str">
        <x:v>Fairy</x:v>
      </x:c>
      <x:c r="E93" s="203" t="str">
        <x:v>Parley Hedgehog Final</x:v>
      </x:c>
      <x:c r="F93" s="203" t="str">
        <x:v>Standard Final</x:v>
      </x:c>
      <x:c r="G93" s="203" t="str">
        <x:v>H | M | VH | L | VH | VL</x:v>
      </x:c>
      <x:c r="H93" s="203" t="str">
        <x:v>Calm Guard</x:v>
      </x:c>
      <x:c r="I93" s="203" t="str">
        <x:v>Firm Stance</x:v>
      </x:c>
      <x:c r="J93" s="203" t="str">
        <x:v>Truce</x:v>
      </x:c>
      <x:c r="K93" s="204" t="n">
        <x:v>100</x:v>
      </x:c>
      <x:c r="L93" s="204" t="n">
        <x:v>75</x:v>
      </x:c>
      <x:c r="M93" s="204" t="n">
        <x:v>125</x:v>
      </x:c>
      <x:c r="N93" s="204" t="n">
        <x:v>45</x:v>
      </x:c>
      <x:c r="O93" s="204" t="n">
        <x:v>125</x:v>
      </x:c>
      <x:c r="P93" s="204" t="n">
        <x:v>35</x:v>
      </x:c>
      <x:c r="Q93" s="204" t="n">
        <x:f>SUM(K93:P93)</x:f>
        <x:v>505</x:v>
      </x:c>
      <x:c r="R93" s="204" t="n">
        <x:v>505</x:v>
      </x:c>
      <x:c r="S93" s="204" t="n">
        <x:f>Q93-R93</x:f>
        <x:v>0</x:v>
      </x:c>
      <x:c r="T93" s="203" t="str">
        <x:v>Leans on Defense / Sp. Def; gives up Speed to preserve the handoff profile H | M | VH | L | VH | VL.</x:v>
      </x:c>
      <x:c r="U93" s="203" t="str">
        <x:v>Standard</x:v>
      </x:c>
      <x:c r="V93" s="203" t="str">
        <x:v>Standard</x:v>
      </x:c>
      <x:c r="W93" s="203" t="str">
        <x:v>Standard</x:v>
      </x:c>
      <x:c r="X93" s="205" t="str">
        <x:v>187-Monster Ability &amp; BST Design Handoff</x:v>
      </x:c>
    </x:row>
    <x:row r="94">
      <x:c r="A94" s="202" t="n">
        <x:v>92</x:v>
      </x:c>
      <x:c r="B94" s="203" t="str">
        <x:v>Jerbune</x:v>
      </x:c>
      <x:c r="C94" s="203" t="str">
        <x:v>Psychic</x:v>
      </x:c>
      <x:c r="D94" s="203" t="str"/>
      <x:c r="E94" s="203" t="str">
        <x:v>Alliance Split Base</x:v>
      </x:c>
      <x:c r="F94" s="203" t="str">
        <x:v>Base / Early</x:v>
      </x:c>
      <x:c r="G94" s="203" t="str">
        <x:v>L-M | L | L | H | M | H</x:v>
      </x:c>
      <x:c r="H94" s="203" t="str">
        <x:v>Foresight</x:v>
      </x:c>
      <x:c r="I94" s="203" t="str">
        <x:v>Wayfarer</x:v>
      </x:c>
      <x:c r="J94" s="203" t="str">
        <x:v>Rallying Cry</x:v>
      </x:c>
      <x:c r="K94" s="204" t="n">
        <x:v>45</x:v>
      </x:c>
      <x:c r="L94" s="204" t="n">
        <x:v>35</x:v>
      </x:c>
      <x:c r="M94" s="204" t="n">
        <x:v>35</x:v>
      </x:c>
      <x:c r="N94" s="204" t="n">
        <x:v>70</x:v>
      </x:c>
      <x:c r="O94" s="204" t="n">
        <x:v>50</x:v>
      </x:c>
      <x:c r="P94" s="204" t="n">
        <x:v>70</x:v>
      </x:c>
      <x:c r="Q94" s="204" t="n">
        <x:f>SUM(K94:P94)</x:f>
        <x:v>305</x:v>
      </x:c>
      <x:c r="R94" s="204" t="n">
        <x:v>305</x:v>
      </x:c>
      <x:c r="S94" s="204" t="n">
        <x:f>Q94-R94</x:f>
        <x:v>0</x:v>
      </x:c>
      <x:c r="T94" s="203" t="str">
        <x:v>Leans on Sp. Atk / Speed; gives up Attack / Defense to preserve the handoff profile L-M | L | L | H | M | H.</x:v>
      </x:c>
      <x:c r="U94" s="203" t="str">
        <x:v>Standard</x:v>
      </x:c>
      <x:c r="V94" s="203" t="str">
        <x:v>Standard</x:v>
      </x:c>
      <x:c r="W94" s="203" t="str">
        <x:v>Standard</x:v>
      </x:c>
      <x:c r="X94" s="205" t="str">
        <x:v>187-Monster Ability &amp; BST Design Handoff</x:v>
      </x:c>
    </x:row>
    <x:row r="95">
      <x:c r="A95" s="202" t="n">
        <x:v>93</x:v>
      </x:c>
      <x:c r="B95" s="203" t="str">
        <x:v>Concordune</x:v>
      </x:c>
      <x:c r="C95" s="203" t="str">
        <x:v>Psychic</x:v>
      </x:c>
      <x:c r="D95" s="203" t="str">
        <x:v>Fairy</x:v>
      </x:c>
      <x:c r="E95" s="203" t="str">
        <x:v>Alliance Split Final</x:v>
      </x:c>
      <x:c r="F95" s="203" t="str">
        <x:v>Standard Final</x:v>
      </x:c>
      <x:c r="G95" s="203" t="str">
        <x:v>M | L | M | H | H | H</x:v>
      </x:c>
      <x:c r="H95" s="203" t="str">
        <x:v>Medicinal Sap</x:v>
      </x:c>
      <x:c r="I95" s="203" t="str">
        <x:v>Foresight</x:v>
      </x:c>
      <x:c r="J95" s="203" t="str">
        <x:v>Rallying Cry</x:v>
      </x:c>
      <x:c r="K95" s="204" t="n">
        <x:v>75</x:v>
      </x:c>
      <x:c r="L95" s="204" t="n">
        <x:v>50</x:v>
      </x:c>
      <x:c r="M95" s="204" t="n">
        <x:v>75</x:v>
      </x:c>
      <x:c r="N95" s="204" t="n">
        <x:v>100</x:v>
      </x:c>
      <x:c r="O95" s="204" t="n">
        <x:v>100</x:v>
      </x:c>
      <x:c r="P95" s="204" t="n">
        <x:v>100</x:v>
      </x:c>
      <x:c r="Q95" s="204" t="n">
        <x:f>SUM(K95:P95)</x:f>
        <x:v>500</x:v>
      </x:c>
      <x:c r="R95" s="204" t="n">
        <x:v>500</x:v>
      </x:c>
      <x:c r="S95" s="204" t="n">
        <x:f>Q95-R95</x:f>
        <x:v>0</x:v>
      </x:c>
      <x:c r="T95" s="203" t="str">
        <x:v>Leans on Sp. Atk / Sp. Def; gives up Attack to preserve the handoff profile M | L | M | H | H | H.</x:v>
      </x:c>
      <x:c r="U95" s="203" t="str">
        <x:v>Standard</x:v>
      </x:c>
      <x:c r="V95" s="203" t="str">
        <x:v>Standard</x:v>
      </x:c>
      <x:c r="W95" s="203" t="str">
        <x:v>Standard</x:v>
      </x:c>
      <x:c r="X95" s="205" t="str">
        <x:v>187-Monster Ability &amp; BST Design Handoff</x:v>
      </x:c>
    </x:row>
    <x:row r="96">
      <x:c r="A96" s="202" t="n">
        <x:v>94</x:v>
      </x:c>
      <x:c r="B96" s="203" t="str">
        <x:v>Sundune</x:v>
      </x:c>
      <x:c r="C96" s="203" t="str">
        <x:v>Psychic</x:v>
      </x:c>
      <x:c r="D96" s="203" t="str">
        <x:v>Dark</x:v>
      </x:c>
      <x:c r="E96" s="203" t="str">
        <x:v>Solitary Split Final</x:v>
      </x:c>
      <x:c r="F96" s="203" t="str">
        <x:v>Standard Final</x:v>
      </x:c>
      <x:c r="G96" s="203" t="str">
        <x:v>M-L | M | L-M | VH | M | VH</x:v>
      </x:c>
      <x:c r="H96" s="203" t="str">
        <x:v>Ambush</x:v>
      </x:c>
      <x:c r="I96" s="203" t="str">
        <x:v>Foresight</x:v>
      </x:c>
      <x:c r="J96" s="203" t="str">
        <x:v>Opportunist</x:v>
      </x:c>
      <x:c r="K96" s="204" t="n">
        <x:v>60</x:v>
      </x:c>
      <x:c r="L96" s="204" t="n">
        <x:v>70</x:v>
      </x:c>
      <x:c r="M96" s="204" t="n">
        <x:v>60</x:v>
      </x:c>
      <x:c r="N96" s="204" t="n">
        <x:v>120</x:v>
      </x:c>
      <x:c r="O96" s="204" t="n">
        <x:v>70</x:v>
      </x:c>
      <x:c r="P96" s="204" t="n">
        <x:v>120</x:v>
      </x:c>
      <x:c r="Q96" s="204" t="n">
        <x:f>SUM(K96:P96)</x:f>
        <x:v>500</x:v>
      </x:c>
      <x:c r="R96" s="204" t="n">
        <x:v>500</x:v>
      </x:c>
      <x:c r="S96" s="204" t="n">
        <x:f>Q96-R96</x:f>
        <x:v>0</x:v>
      </x:c>
      <x:c r="T96" s="203" t="str">
        <x:v>Leans on Sp. Atk / Speed; gives up HP / Defense to preserve the handoff profile M-L | M | L-M | VH | M | VH.</x:v>
      </x:c>
      <x:c r="U96" s="203" t="str">
        <x:v>Standard</x:v>
      </x:c>
      <x:c r="V96" s="203" t="str">
        <x:v>Standard</x:v>
      </x:c>
      <x:c r="W96" s="203" t="str">
        <x:v>Standard</x:v>
      </x:c>
      <x:c r="X96" s="205" t="str">
        <x:v>187-Monster Ability &amp; BST Design Handoff</x:v>
      </x:c>
    </x:row>
    <x:row r="97">
      <x:c r="A97" s="202" t="n">
        <x:v>95</x:v>
      </x:c>
      <x:c r="B97" s="203" t="str">
        <x:v>Pennmot</x:v>
      </x:c>
      <x:c r="C97" s="203" t="str">
        <x:v>Fighting</x:v>
      </x:c>
      <x:c r="D97" s="203" t="str"/>
      <x:c r="E97" s="203" t="str">
        <x:v>Grudge Stage 1</x:v>
      </x:c>
      <x:c r="F97" s="203" t="str">
        <x:v>Base / Early</x:v>
      </x:c>
      <x:c r="G97" s="203" t="str">
        <x:v>M-H | H | M-H | L | M | L-M</x:v>
      </x:c>
      <x:c r="H97" s="203" t="str">
        <x:v>Revenge Mark</x:v>
      </x:c>
      <x:c r="I97" s="203" t="str">
        <x:v>Coldproof</x:v>
      </x:c>
      <x:c r="J97" s="203" t="str">
        <x:v>Countercharge</x:v>
      </x:c>
      <x:c r="K97" s="204" t="n">
        <x:v>60</x:v>
      </x:c>
      <x:c r="L97" s="204" t="n">
        <x:v>65</x:v>
      </x:c>
      <x:c r="M97" s="204" t="n">
        <x:v>60</x:v>
      </x:c>
      <x:c r="N97" s="204" t="n">
        <x:v>30</x:v>
      </x:c>
      <x:c r="O97" s="204" t="n">
        <x:v>50</x:v>
      </x:c>
      <x:c r="P97" s="204" t="n">
        <x:v>40</x:v>
      </x:c>
      <x:c r="Q97" s="204" t="n">
        <x:f>SUM(K97:P97)</x:f>
        <x:v>305</x:v>
      </x:c>
      <x:c r="R97" s="204" t="n">
        <x:v>305</x:v>
      </x:c>
      <x:c r="S97" s="204" t="n">
        <x:f>Q97-R97</x:f>
        <x:v>0</x:v>
      </x:c>
      <x:c r="T97" s="203" t="str">
        <x:v>Leans on Attack / HP; gives up Sp. Atk to preserve the handoff profile M-H | H | M-H | L | M | L-M.</x:v>
      </x:c>
      <x:c r="U97" s="203" t="str">
        <x:v>Standard</x:v>
      </x:c>
      <x:c r="V97" s="203" t="str">
        <x:v>Standard</x:v>
      </x:c>
      <x:c r="W97" s="203" t="str">
        <x:v>Standard</x:v>
      </x:c>
      <x:c r="X97" s="205" t="str">
        <x:v>187-Monster Ability &amp; BST Design Handoff</x:v>
      </x:c>
    </x:row>
    <x:row r="98">
      <x:c r="A98" s="202" t="n">
        <x:v>96</x:v>
      </x:c>
      <x:c r="B98" s="203" t="str">
        <x:v>Grudgemont</x:v>
      </x:c>
      <x:c r="C98" s="203" t="str">
        <x:v>Dark</x:v>
      </x:c>
      <x:c r="D98" s="203" t="str">
        <x:v>Ice</x:v>
      </x:c>
      <x:c r="E98" s="203" t="str">
        <x:v>Grudge Final</x:v>
      </x:c>
      <x:c r="F98" s="203" t="str">
        <x:v>Standard Final</x:v>
      </x:c>
      <x:c r="G98" s="203" t="str">
        <x:v>H | VH | H | L | M-H | L-M</x:v>
      </x:c>
      <x:c r="H98" s="203" t="str">
        <x:v>Revenge Mark</x:v>
      </x:c>
      <x:c r="I98" s="203" t="str">
        <x:v>Coldproof</x:v>
      </x:c>
      <x:c r="J98" s="203" t="str">
        <x:v>Marked Quarry</x:v>
      </x:c>
      <x:c r="K98" s="204" t="n">
        <x:v>100</x:v>
      </x:c>
      <x:c r="L98" s="204" t="n">
        <x:v>120</x:v>
      </x:c>
      <x:c r="M98" s="204" t="n">
        <x:v>100</x:v>
      </x:c>
      <x:c r="N98" s="204" t="n">
        <x:v>45</x:v>
      </x:c>
      <x:c r="O98" s="204" t="n">
        <x:v>85</x:v>
      </x:c>
      <x:c r="P98" s="204" t="n">
        <x:v>60</x:v>
      </x:c>
      <x:c r="Q98" s="204" t="n">
        <x:f>SUM(K98:P98)</x:f>
        <x:v>510</x:v>
      </x:c>
      <x:c r="R98" s="204" t="n">
        <x:v>510</x:v>
      </x:c>
      <x:c r="S98" s="204" t="n">
        <x:f>Q98-R98</x:f>
        <x:v>0</x:v>
      </x:c>
      <x:c r="T98" s="203" t="str">
        <x:v>Leans on Attack; gives up Sp. Atk to preserve the handoff profile H | VH | H | L | M-H | L-M.</x:v>
      </x:c>
      <x:c r="U98" s="203" t="str">
        <x:v>Standard</x:v>
      </x:c>
      <x:c r="V98" s="203" t="str">
        <x:v>Standard</x:v>
      </x:c>
      <x:c r="W98" s="203" t="str">
        <x:v>Standard</x:v>
      </x:c>
      <x:c r="X98" s="205" t="str">
        <x:v>187-Monster Ability &amp; BST Design Handoff</x:v>
      </x:c>
    </x:row>
    <x:row r="99">
      <x:c r="A99" s="202" t="n">
        <x:v>97</x:v>
      </x:c>
      <x:c r="B99" s="203" t="str">
        <x:v>Courstoat</x:v>
      </x:c>
      <x:c r="C99" s="203" t="str">
        <x:v>Normal</x:v>
      </x:c>
      <x:c r="D99" s="203" t="str"/>
      <x:c r="E99" s="203" t="str">
        <x:v>Reversal Stage 1</x:v>
      </x:c>
      <x:c r="F99" s="203" t="str">
        <x:v>Base / Early</x:v>
      </x:c>
      <x:c r="G99" s="203" t="str">
        <x:v>L-M | M | L | M | M | H</x:v>
      </x:c>
      <x:c r="H99" s="203" t="str">
        <x:v>Wayfarer</x:v>
      </x:c>
      <x:c r="I99" s="203" t="str">
        <x:v>Feintstep</x:v>
      </x:c>
      <x:c r="J99" s="203" t="str">
        <x:v>Foresight</x:v>
      </x:c>
      <x:c r="K99" s="204" t="n">
        <x:v>40</x:v>
      </x:c>
      <x:c r="L99" s="204" t="n">
        <x:v>50</x:v>
      </x:c>
      <x:c r="M99" s="204" t="n">
        <x:v>35</x:v>
      </x:c>
      <x:c r="N99" s="204" t="n">
        <x:v>50</x:v>
      </x:c>
      <x:c r="O99" s="204" t="n">
        <x:v>50</x:v>
      </x:c>
      <x:c r="P99" s="204" t="n">
        <x:v>70</x:v>
      </x:c>
      <x:c r="Q99" s="204" t="n">
        <x:f>SUM(K99:P99)</x:f>
        <x:v>295</x:v>
      </x:c>
      <x:c r="R99" s="204" t="n">
        <x:v>295</x:v>
      </x:c>
      <x:c r="S99" s="204" t="n">
        <x:f>Q99-R99</x:f>
        <x:v>0</x:v>
      </x:c>
      <x:c r="T99" s="203" t="str">
        <x:v>Leans on Speed; gives up HP / Defense to preserve the handoff profile L-M | M | L | M | M | H.</x:v>
      </x:c>
      <x:c r="U99" s="203" t="str">
        <x:v>Standard</x:v>
      </x:c>
      <x:c r="V99" s="203" t="str">
        <x:v>Standard</x:v>
      </x:c>
      <x:c r="W99" s="203" t="str">
        <x:v>Standard</x:v>
      </x:c>
      <x:c r="X99" s="205" t="str">
        <x:v>187-Monster Ability &amp; BST Design Handoff</x:v>
      </x:c>
    </x:row>
    <x:row r="100">
      <x:c r="A100" s="202" t="n">
        <x:v>98</x:v>
      </x:c>
      <x:c r="B100" s="203" t="str">
        <x:v>Reversire</x:v>
      </x:c>
      <x:c r="C100" s="203" t="str">
        <x:v>Psychic</x:v>
      </x:c>
      <x:c r="D100" s="203" t="str">
        <x:v>Dark</x:v>
      </x:c>
      <x:c r="E100" s="203" t="str">
        <x:v>Reversal Final</x:v>
      </x:c>
      <x:c r="F100" s="203" t="str">
        <x:v>Standard Final</x:v>
      </x:c>
      <x:c r="G100" s="203" t="str">
        <x:v>M | M-H | M-L | H | M-H | VH</x:v>
      </x:c>
      <x:c r="H100" s="203" t="str">
        <x:v>Wayfarer</x:v>
      </x:c>
      <x:c r="I100" s="203" t="str">
        <x:v>Feintstep</x:v>
      </x:c>
      <x:c r="J100" s="203" t="str">
        <x:v>Foresight</x:v>
      </x:c>
      <x:c r="K100" s="204" t="n">
        <x:v>70</x:v>
      </x:c>
      <x:c r="L100" s="204" t="n">
        <x:v>80</x:v>
      </x:c>
      <x:c r="M100" s="204" t="n">
        <x:v>60</x:v>
      </x:c>
      <x:c r="N100" s="204" t="n">
        <x:v>95</x:v>
      </x:c>
      <x:c r="O100" s="204" t="n">
        <x:v>80</x:v>
      </x:c>
      <x:c r="P100" s="204" t="n">
        <x:v>120</x:v>
      </x:c>
      <x:c r="Q100" s="204" t="n">
        <x:f>SUM(K100:P100)</x:f>
        <x:v>505</x:v>
      </x:c>
      <x:c r="R100" s="204" t="n">
        <x:v>505</x:v>
      </x:c>
      <x:c r="S100" s="204" t="n">
        <x:f>Q100-R100</x:f>
        <x:v>0</x:v>
      </x:c>
      <x:c r="T100" s="203" t="str">
        <x:v>Leans on Speed; gives up Defense to preserve the handoff profile M | M-H | M-L | H | M-H | VH.</x:v>
      </x:c>
      <x:c r="U100" s="203" t="str">
        <x:v>Standard</x:v>
      </x:c>
      <x:c r="V100" s="203" t="str">
        <x:v>Standard</x:v>
      </x:c>
      <x:c r="W100" s="203" t="str">
        <x:v>Standard</x:v>
      </x:c>
      <x:c r="X100" s="205" t="str">
        <x:v>187-Monster Ability &amp; BST Design Handoff</x:v>
      </x:c>
    </x:row>
    <x:row r="101">
      <x:c r="A101" s="202" t="n">
        <x:v>99</x:v>
      </x:c>
      <x:c r="B101" s="203" t="str">
        <x:v>Whisbat</x:v>
      </x:c>
      <x:c r="C101" s="203" t="str">
        <x:v>Flying</x:v>
      </x:c>
      <x:c r="D101" s="203" t="str"/>
      <x:c r="E101" s="203" t="str">
        <x:v>Echo Stage 1</x:v>
      </x:c>
      <x:c r="F101" s="203" t="str">
        <x:v>Base / Early</x:v>
      </x:c>
      <x:c r="G101" s="203" t="str">
        <x:v>L | L | L | M-H | M | H</x:v>
      </x:c>
      <x:c r="H101" s="203" t="str">
        <x:v>Soundproof</x:v>
      </x:c>
      <x:c r="I101" s="203" t="str">
        <x:v>Chorus</x:v>
      </x:c>
      <x:c r="J101" s="203" t="str">
        <x:v>Mimic Ear</x:v>
      </x:c>
      <x:c r="K101" s="204" t="n">
        <x:v>35</x:v>
      </x:c>
      <x:c r="L101" s="204" t="n">
        <x:v>35</x:v>
      </x:c>
      <x:c r="M101" s="204" t="n">
        <x:v>35</x:v>
      </x:c>
      <x:c r="N101" s="204" t="n">
        <x:v>60</x:v>
      </x:c>
      <x:c r="O101" s="204" t="n">
        <x:v>55</x:v>
      </x:c>
      <x:c r="P101" s="204" t="n">
        <x:v>70</x:v>
      </x:c>
      <x:c r="Q101" s="204" t="n">
        <x:f>SUM(K101:P101)</x:f>
        <x:v>290</x:v>
      </x:c>
      <x:c r="R101" s="204" t="n">
        <x:v>290</x:v>
      </x:c>
      <x:c r="S101" s="204" t="n">
        <x:f>Q101-R101</x:f>
        <x:v>0</x:v>
      </x:c>
      <x:c r="T101" s="203" t="str">
        <x:v>Leans on Speed; gives up HP / Attack to preserve the handoff profile L | L | L | M-H | M | H.</x:v>
      </x:c>
      <x:c r="U101" s="203" t="str">
        <x:v>Standard</x:v>
      </x:c>
      <x:c r="V101" s="203" t="str">
        <x:v>Standard</x:v>
      </x:c>
      <x:c r="W101" s="203" t="str">
        <x:v>Rare</x:v>
      </x:c>
      <x:c r="X101" s="205" t="str">
        <x:v>187-Monster Ability &amp; BST Design Handoff</x:v>
      </x:c>
    </x:row>
    <x:row r="102">
      <x:c r="A102" s="202" t="n">
        <x:v>100</x:v>
      </x:c>
      <x:c r="B102" s="203" t="str">
        <x:v>Pactecho</x:v>
      </x:c>
      <x:c r="C102" s="203" t="str">
        <x:v>Flying</x:v>
      </x:c>
      <x:c r="D102" s="203" t="str">
        <x:v>Psychic</x:v>
      </x:c>
      <x:c r="E102" s="203" t="str">
        <x:v>Echo Final</x:v>
      </x:c>
      <x:c r="F102" s="203" t="str">
        <x:v>Standard Final</x:v>
      </x:c>
      <x:c r="G102" s="203" t="str">
        <x:v>M | L | M-L | H | H | H</x:v>
      </x:c>
      <x:c r="H102" s="203" t="str">
        <x:v>Soundproof</x:v>
      </x:c>
      <x:c r="I102" s="203" t="str">
        <x:v>Chorus</x:v>
      </x:c>
      <x:c r="J102" s="203" t="str">
        <x:v>Mimic Ear</x:v>
      </x:c>
      <x:c r="K102" s="204" t="n">
        <x:v>75</x:v>
      </x:c>
      <x:c r="L102" s="204" t="n">
        <x:v>50</x:v>
      </x:c>
      <x:c r="M102" s="204" t="n">
        <x:v>60</x:v>
      </x:c>
      <x:c r="N102" s="204" t="n">
        <x:v>100</x:v>
      </x:c>
      <x:c r="O102" s="204" t="n">
        <x:v>105</x:v>
      </x:c>
      <x:c r="P102" s="204" t="n">
        <x:v>105</x:v>
      </x:c>
      <x:c r="Q102" s="204" t="n">
        <x:f>SUM(K102:P102)</x:f>
        <x:v>495</x:v>
      </x:c>
      <x:c r="R102" s="204" t="n">
        <x:v>495</x:v>
      </x:c>
      <x:c r="S102" s="204" t="n">
        <x:f>Q102-R102</x:f>
        <x:v>0</x:v>
      </x:c>
      <x:c r="T102" s="203" t="str">
        <x:v>Leans on Sp. Def / Speed; gives up Attack to preserve the handoff profile M | L | M-L | H | H | H.</x:v>
      </x:c>
      <x:c r="U102" s="203" t="str">
        <x:v>Standard</x:v>
      </x:c>
      <x:c r="V102" s="203" t="str">
        <x:v>Standard</x:v>
      </x:c>
      <x:c r="W102" s="203" t="str">
        <x:v>Rare</x:v>
      </x:c>
      <x:c r="X102" s="205" t="str">
        <x:v>187-Monster Ability &amp; BST Design Handoff</x:v>
      </x:c>
    </x:row>
    <x:row r="103">
      <x:c r="A103" s="202" t="n">
        <x:v>101</x:v>
      </x:c>
      <x:c r="B103" s="203" t="str">
        <x:v>Limbud</x:v>
      </x:c>
      <x:c r="C103" s="203" t="str">
        <x:v>Grass</x:v>
      </x:c>
      <x:c r="D103" s="203" t="str"/>
      <x:c r="E103" s="203" t="str">
        <x:v>Laurel Stage 1</x:v>
      </x:c>
      <x:c r="F103" s="203" t="str">
        <x:v>Base / Early</x:v>
      </x:c>
      <x:c r="G103" s="203" t="str">
        <x:v>M-H | L | M | M | H | L</x:v>
      </x:c>
      <x:c r="H103" s="203" t="str">
        <x:v>Calm Guard</x:v>
      </x:c>
      <x:c r="I103" s="203" t="str">
        <x:v>Renewal</x:v>
      </x:c>
      <x:c r="J103" s="203" t="str">
        <x:v>Truce</x:v>
      </x:c>
      <x:c r="K103" s="204" t="n">
        <x:v>60</x:v>
      </x:c>
      <x:c r="L103" s="204" t="n">
        <x:v>35</x:v>
      </x:c>
      <x:c r="M103" s="204" t="n">
        <x:v>50</x:v>
      </x:c>
      <x:c r="N103" s="204" t="n">
        <x:v>50</x:v>
      </x:c>
      <x:c r="O103" s="204" t="n">
        <x:v>70</x:v>
      </x:c>
      <x:c r="P103" s="204" t="n">
        <x:v>35</x:v>
      </x:c>
      <x:c r="Q103" s="204" t="n">
        <x:f>SUM(K103:P103)</x:f>
        <x:v>300</x:v>
      </x:c>
      <x:c r="R103" s="204" t="n">
        <x:v>300</x:v>
      </x:c>
      <x:c r="S103" s="204" t="n">
        <x:f>Q103-R103</x:f>
        <x:v>0</x:v>
      </x:c>
      <x:c r="T103" s="203" t="str">
        <x:v>Leans on Sp. Def; gives up Attack / Speed to preserve the handoff profile M-H | L | M | M | H | L.</x:v>
      </x:c>
      <x:c r="U103" s="203" t="str">
        <x:v>Standard</x:v>
      </x:c>
      <x:c r="V103" s="203" t="str">
        <x:v>Standard</x:v>
      </x:c>
      <x:c r="W103" s="203" t="str">
        <x:v>Standard</x:v>
      </x:c>
      <x:c r="X103" s="205" t="str">
        <x:v>187-Monster Ability &amp; BST Design Handoff</x:v>
      </x:c>
    </x:row>
    <x:row r="104">
      <x:c r="A104" s="202" t="n">
        <x:v>102</x:v>
      </x:c>
      <x:c r="B104" s="203" t="str">
        <x:v>Laureveil</x:v>
      </x:c>
      <x:c r="C104" s="203" t="str">
        <x:v>Grass</x:v>
      </x:c>
      <x:c r="D104" s="203" t="str">
        <x:v>Ice</x:v>
      </x:c>
      <x:c r="E104" s="203" t="str">
        <x:v>Laurel Final</x:v>
      </x:c>
      <x:c r="F104" s="203" t="str">
        <x:v>Standard Final</x:v>
      </x:c>
      <x:c r="G104" s="203" t="str">
        <x:v>H | L | H | M | VH | VL</x:v>
      </x:c>
      <x:c r="H104" s="203" t="str">
        <x:v>Calm Guard</x:v>
      </x:c>
      <x:c r="I104" s="203" t="str">
        <x:v>Renewal</x:v>
      </x:c>
      <x:c r="J104" s="203" t="str">
        <x:v>Stable Core</x:v>
      </x:c>
      <x:c r="K104" s="204" t="n">
        <x:v>105</x:v>
      </x:c>
      <x:c r="L104" s="204" t="n">
        <x:v>50</x:v>
      </x:c>
      <x:c r="M104" s="204" t="n">
        <x:v>105</x:v>
      </x:c>
      <x:c r="N104" s="204" t="n">
        <x:v>75</x:v>
      </x:c>
      <x:c r="O104" s="204" t="n">
        <x:v>130</x:v>
      </x:c>
      <x:c r="P104" s="204" t="n">
        <x:v>35</x:v>
      </x:c>
      <x:c r="Q104" s="204" t="n">
        <x:f>SUM(K104:P104)</x:f>
        <x:v>500</x:v>
      </x:c>
      <x:c r="R104" s="204" t="n">
        <x:v>500</x:v>
      </x:c>
      <x:c r="S104" s="204" t="n">
        <x:f>Q104-R104</x:f>
        <x:v>0</x:v>
      </x:c>
      <x:c r="T104" s="203" t="str">
        <x:v>Leans on Sp. Def; gives up Speed to preserve the handoff profile H | L | H | M | VH | VL.</x:v>
      </x:c>
      <x:c r="U104" s="203" t="str">
        <x:v>Standard</x:v>
      </x:c>
      <x:c r="V104" s="203" t="str">
        <x:v>Standard</x:v>
      </x:c>
      <x:c r="W104" s="203" t="str">
        <x:v>Rare</x:v>
      </x:c>
      <x:c r="X104" s="205" t="str">
        <x:v>187-Monster Ability &amp; BST Design Handoff</x:v>
      </x:c>
    </x:row>
    <x:row r="105">
      <x:c r="A105" s="202" t="n">
        <x:v>103</x:v>
      </x:c>
      <x:c r="B105" s="203" t="str">
        <x:v>Amplet</x:v>
      </x:c>
      <x:c r="C105" s="203" t="str">
        <x:v>Electric</x:v>
      </x:c>
      <x:c r="D105" s="203" t="str"/>
      <x:c r="E105" s="203" t="str">
        <x:v>Magnet Stage 1</x:v>
      </x:c>
      <x:c r="F105" s="203" t="str">
        <x:v>Base / Early</x:v>
      </x:c>
      <x:c r="G105" s="203" t="str">
        <x:v>L | L | L | H | M | H</x:v>
      </x:c>
      <x:c r="H105" s="203" t="str">
        <x:v>Static Hide</x:v>
      </x:c>
      <x:c r="I105" s="203" t="str">
        <x:v>Wayfarer</x:v>
      </x:c>
      <x:c r="J105" s="203" t="str">
        <x:v>Capacitor</x:v>
      </x:c>
      <x:c r="K105" s="204" t="n">
        <x:v>35</x:v>
      </x:c>
      <x:c r="L105" s="204" t="n">
        <x:v>35</x:v>
      </x:c>
      <x:c r="M105" s="204" t="n">
        <x:v>35</x:v>
      </x:c>
      <x:c r="N105" s="204" t="n">
        <x:v>70</x:v>
      </x:c>
      <x:c r="O105" s="204" t="n">
        <x:v>50</x:v>
      </x:c>
      <x:c r="P105" s="204" t="n">
        <x:v>70</x:v>
      </x:c>
      <x:c r="Q105" s="204" t="n">
        <x:f>SUM(K105:P105)</x:f>
        <x:v>295</x:v>
      </x:c>
      <x:c r="R105" s="204" t="n">
        <x:v>295</x:v>
      </x:c>
      <x:c r="S105" s="204" t="n">
        <x:f>Q105-R105</x:f>
        <x:v>0</x:v>
      </x:c>
      <x:c r="T105" s="203" t="str">
        <x:v>Leans on Sp. Atk / Speed; gives up HP / Attack to preserve the handoff profile L | L | L | H | M | H.</x:v>
      </x:c>
      <x:c r="U105" s="203" t="str">
        <x:v>Standard</x:v>
      </x:c>
      <x:c r="V105" s="203" t="str">
        <x:v>Standard</x:v>
      </x:c>
      <x:c r="W105" s="203" t="str">
        <x:v>Rare</x:v>
      </x:c>
      <x:c r="X105" s="205" t="str">
        <x:v>187-Monster Ability &amp; BST Design Handoff</x:v>
      </x:c>
    </x:row>
    <x:row r="106">
      <x:c r="A106" s="202" t="n">
        <x:v>104</x:v>
      </x:c>
      <x:c r="B106" s="203" t="str">
        <x:v>Vortamor</x:v>
      </x:c>
      <x:c r="C106" s="203" t="str">
        <x:v>Electric</x:v>
      </x:c>
      <x:c r="D106" s="203" t="str">
        <x:v>Fairy</x:v>
      </x:c>
      <x:c r="E106" s="203" t="str">
        <x:v>Magnet Final</x:v>
      </x:c>
      <x:c r="F106" s="203" t="str">
        <x:v>Standard Final</x:v>
      </x:c>
      <x:c r="G106" s="203" t="str">
        <x:v>M | L | M-L | VH | M-H | VH</x:v>
      </x:c>
      <x:c r="H106" s="203" t="str">
        <x:v>Static Hide</x:v>
      </x:c>
      <x:c r="I106" s="203" t="str">
        <x:v>Wayfarer</x:v>
      </x:c>
      <x:c r="J106" s="203" t="str">
        <x:v>Capacitor</x:v>
      </x:c>
      <x:c r="K106" s="204" t="n">
        <x:v>75</x:v>
      </x:c>
      <x:c r="L106" s="204" t="n">
        <x:v>45</x:v>
      </x:c>
      <x:c r="M106" s="204" t="n">
        <x:v>60</x:v>
      </x:c>
      <x:c r="N106" s="204" t="n">
        <x:v>125</x:v>
      </x:c>
      <x:c r="O106" s="204" t="n">
        <x:v>85</x:v>
      </x:c>
      <x:c r="P106" s="204" t="n">
        <x:v>120</x:v>
      </x:c>
      <x:c r="Q106" s="204" t="n">
        <x:f>SUM(K106:P106)</x:f>
        <x:v>510</x:v>
      </x:c>
      <x:c r="R106" s="204" t="n">
        <x:v>510</x:v>
      </x:c>
      <x:c r="S106" s="204" t="n">
        <x:f>Q106-R106</x:f>
        <x:v>0</x:v>
      </x:c>
      <x:c r="T106" s="203" t="str">
        <x:v>Leans on Sp. Atk / Speed; gives up Attack to preserve the handoff profile M | L | M-L | VH | M-H | VH.</x:v>
      </x:c>
      <x:c r="U106" s="203" t="str">
        <x:v>Standard</x:v>
      </x:c>
      <x:c r="V106" s="203" t="str">
        <x:v>Standard</x:v>
      </x:c>
      <x:c r="W106" s="203" t="str">
        <x:v>Rare</x:v>
      </x:c>
      <x:c r="X106" s="205" t="str">
        <x:v>187-Monster Ability &amp; BST Design Handoff</x:v>
      </x:c>
    </x:row>
    <x:row r="107">
      <x:c r="A107" s="202" t="n">
        <x:v>105</x:v>
      </x:c>
      <x:c r="B107" s="203" t="str">
        <x:v>Nibblub</x:v>
      </x:c>
      <x:c r="C107" s="203" t="str">
        <x:v>Grass</x:v>
      </x:c>
      <x:c r="D107" s="203" t="str"/>
      <x:c r="E107" s="203" t="str">
        <x:v>Gourmand Stage 1</x:v>
      </x:c>
      <x:c r="F107" s="203" t="str">
        <x:v>Base / Early</x:v>
      </x:c>
      <x:c r="G107" s="203" t="str">
        <x:v>H | M | M | M | M | L</x:v>
      </x:c>
      <x:c r="H107" s="203" t="str">
        <x:v>Forager</x:v>
      </x:c>
      <x:c r="I107" s="203" t="str">
        <x:v>Berry Hoard</x:v>
      </x:c>
      <x:c r="J107" s="203" t="str">
        <x:v>Feast</x:v>
      </x:c>
      <x:c r="K107" s="204" t="n">
        <x:v>70</x:v>
      </x:c>
      <x:c r="L107" s="204" t="n">
        <x:v>50</x:v>
      </x:c>
      <x:c r="M107" s="204" t="n">
        <x:v>50</x:v>
      </x:c>
      <x:c r="N107" s="204" t="n">
        <x:v>50</x:v>
      </x:c>
      <x:c r="O107" s="204" t="n">
        <x:v>50</x:v>
      </x:c>
      <x:c r="P107" s="204" t="n">
        <x:v>35</x:v>
      </x:c>
      <x:c r="Q107" s="204" t="n">
        <x:f>SUM(K107:P107)</x:f>
        <x:v>305</x:v>
      </x:c>
      <x:c r="R107" s="204" t="n">
        <x:v>305</x:v>
      </x:c>
      <x:c r="S107" s="204" t="n">
        <x:f>Q107-R107</x:f>
        <x:v>0</x:v>
      </x:c>
      <x:c r="T107" s="203" t="str">
        <x:v>Leans on HP; gives up Speed to preserve the handoff profile H | M | M | M | M | L.</x:v>
      </x:c>
      <x:c r="U107" s="203" t="str">
        <x:v>Standard</x:v>
      </x:c>
      <x:c r="V107" s="203" t="str">
        <x:v>Standard</x:v>
      </x:c>
      <x:c r="W107" s="203" t="str">
        <x:v>Standard</x:v>
      </x:c>
      <x:c r="X107" s="205" t="str">
        <x:v>187-Monster Ability &amp; BST Design Handoff</x:v>
      </x:c>
    </x:row>
    <x:row r="108">
      <x:c r="A108" s="202" t="n">
        <x:v>106</x:v>
      </x:c>
      <x:c r="B108" s="203" t="str">
        <x:v>Gourbog</x:v>
      </x:c>
      <x:c r="C108" s="203" t="str">
        <x:v>Grass</x:v>
      </x:c>
      <x:c r="D108" s="203" t="str">
        <x:v>Poison</x:v>
      </x:c>
      <x:c r="E108" s="203" t="str">
        <x:v>Gourmand Final</x:v>
      </x:c>
      <x:c r="F108" s="203" t="str">
        <x:v>Standard Final</x:v>
      </x:c>
      <x:c r="G108" s="203" t="str">
        <x:v>VH | M-H | H | H | H | VL</x:v>
      </x:c>
      <x:c r="H108" s="203" t="str">
        <x:v>Forager</x:v>
      </x:c>
      <x:c r="I108" s="203" t="str">
        <x:v>Berry Hoard</x:v>
      </x:c>
      <x:c r="J108" s="203" t="str">
        <x:v>Feast</x:v>
      </x:c>
      <x:c r="K108" s="204" t="n">
        <x:v>120</x:v>
      </x:c>
      <x:c r="L108" s="204" t="n">
        <x:v>80</x:v>
      </x:c>
      <x:c r="M108" s="204" t="n">
        <x:v>95</x:v>
      </x:c>
      <x:c r="N108" s="204" t="n">
        <x:v>95</x:v>
      </x:c>
      <x:c r="O108" s="204" t="n">
        <x:v>95</x:v>
      </x:c>
      <x:c r="P108" s="204" t="n">
        <x:v>30</x:v>
      </x:c>
      <x:c r="Q108" s="204" t="n">
        <x:f>SUM(K108:P108)</x:f>
        <x:v>515</x:v>
      </x:c>
      <x:c r="R108" s="204" t="n">
        <x:v>515</x:v>
      </x:c>
      <x:c r="S108" s="204" t="n">
        <x:f>Q108-R108</x:f>
        <x:v>0</x:v>
      </x:c>
      <x:c r="T108" s="203" t="str">
        <x:v>Leans on HP; gives up Speed to preserve the handoff profile VH | M-H | H | H | H | VL.</x:v>
      </x:c>
      <x:c r="U108" s="203" t="str">
        <x:v>Standard</x:v>
      </x:c>
      <x:c r="V108" s="203" t="str">
        <x:v>Standard</x:v>
      </x:c>
      <x:c r="W108" s="203" t="str">
        <x:v>Standard</x:v>
      </x:c>
      <x:c r="X108" s="205" t="str">
        <x:v>187-Monster Ability &amp; BST Design Handoff</x:v>
      </x:c>
    </x:row>
    <x:row r="109">
      <x:c r="A109" s="202" t="n">
        <x:v>107</x:v>
      </x:c>
      <x:c r="B109" s="203" t="str">
        <x:v>Pebbettle</x:v>
      </x:c>
      <x:c r="C109" s="203" t="str">
        <x:v>Rock</x:v>
      </x:c>
      <x:c r="D109" s="203" t="str"/>
      <x:c r="E109" s="203" t="str">
        <x:v>Hoard Stage 1</x:v>
      </x:c>
      <x:c r="F109" s="203" t="str">
        <x:v>Base / Early</x:v>
      </x:c>
      <x:c r="G109" s="203" t="str">
        <x:v>M | M | H | L | M | L</x:v>
      </x:c>
      <x:c r="H109" s="203" t="str">
        <x:v>Safekeep</x:v>
      </x:c>
      <x:c r="I109" s="203" t="str">
        <x:v>Stoneplate</x:v>
      </x:c>
      <x:c r="J109" s="203" t="str">
        <x:v>Scavenger</x:v>
      </x:c>
      <x:c r="K109" s="204" t="n">
        <x:v>55</x:v>
      </x:c>
      <x:c r="L109" s="204" t="n">
        <x:v>50</x:v>
      </x:c>
      <x:c r="M109" s="204" t="n">
        <x:v>70</x:v>
      </x:c>
      <x:c r="N109" s="204" t="n">
        <x:v>35</x:v>
      </x:c>
      <x:c r="O109" s="204" t="n">
        <x:v>50</x:v>
      </x:c>
      <x:c r="P109" s="204" t="n">
        <x:v>35</x:v>
      </x:c>
      <x:c r="Q109" s="204" t="n">
        <x:f>SUM(K109:P109)</x:f>
        <x:v>295</x:v>
      </x:c>
      <x:c r="R109" s="204" t="n">
        <x:v>295</x:v>
      </x:c>
      <x:c r="S109" s="204" t="n">
        <x:f>Q109-R109</x:f>
        <x:v>0</x:v>
      </x:c>
      <x:c r="T109" s="203" t="str">
        <x:v>Leans on Defense; gives up Sp. Atk / Speed to preserve the handoff profile M | M | H | L | M | L.</x:v>
      </x:c>
      <x:c r="U109" s="203" t="str">
        <x:v>Standard</x:v>
      </x:c>
      <x:c r="V109" s="203" t="str">
        <x:v>Standard</x:v>
      </x:c>
      <x:c r="W109" s="203" t="str">
        <x:v>Standard</x:v>
      </x:c>
      <x:c r="X109" s="205" t="str">
        <x:v>187-Monster Ability &amp; BST Design Handoff</x:v>
      </x:c>
    </x:row>
    <x:row r="110">
      <x:c r="A110" s="202" t="n">
        <x:v>108</x:v>
      </x:c>
      <x:c r="B110" s="203" t="str">
        <x:v>Avaroll</x:v>
      </x:c>
      <x:c r="C110" s="203" t="str">
        <x:v>Rock</x:v>
      </x:c>
      <x:c r="D110" s="203" t="str">
        <x:v>Electric</x:v>
      </x:c>
      <x:c r="E110" s="203" t="str">
        <x:v>Hoard Final</x:v>
      </x:c>
      <x:c r="F110" s="203" t="str">
        <x:v>Standard Final</x:v>
      </x:c>
      <x:c r="G110" s="203" t="str">
        <x:v>H | H | VH | M | H | VL</x:v>
      </x:c>
      <x:c r="H110" s="203" t="str">
        <x:v>Safekeep</x:v>
      </x:c>
      <x:c r="I110" s="203" t="str">
        <x:v>Stoneplate</x:v>
      </x:c>
      <x:c r="J110" s="203" t="str">
        <x:v>Scavenger</x:v>
      </x:c>
      <x:c r="K110" s="204" t="n">
        <x:v>95</x:v>
      </x:c>
      <x:c r="L110" s="204" t="n">
        <x:v>95</x:v>
      </x:c>
      <x:c r="M110" s="204" t="n">
        <x:v>115</x:v>
      </x:c>
      <x:c r="N110" s="204" t="n">
        <x:v>70</x:v>
      </x:c>
      <x:c r="O110" s="204" t="n">
        <x:v>95</x:v>
      </x:c>
      <x:c r="P110" s="204" t="n">
        <x:v>30</x:v>
      </x:c>
      <x:c r="Q110" s="204" t="n">
        <x:f>SUM(K110:P110)</x:f>
        <x:v>500</x:v>
      </x:c>
      <x:c r="R110" s="204" t="n">
        <x:v>500</x:v>
      </x:c>
      <x:c r="S110" s="204" t="n">
        <x:f>Q110-R110</x:f>
        <x:v>0</x:v>
      </x:c>
      <x:c r="T110" s="203" t="str">
        <x:v>Leans on Defense; gives up Speed to preserve the handoff profile H | H | VH | M | H | VL.</x:v>
      </x:c>
      <x:c r="U110" s="203" t="str">
        <x:v>Standard</x:v>
      </x:c>
      <x:c r="V110" s="203" t="str">
        <x:v>Standard</x:v>
      </x:c>
      <x:c r="W110" s="203" t="str">
        <x:v>Standard</x:v>
      </x:c>
      <x:c r="X110" s="205" t="str">
        <x:v>187-Monster Ability &amp; BST Design Handoff</x:v>
      </x:c>
    </x:row>
    <x:row r="111">
      <x:c r="A111" s="202" t="n">
        <x:v>109</x:v>
      </x:c>
      <x:c r="B111" s="203" t="str">
        <x:v>Prodiglow</x:v>
      </x:c>
      <x:c r="C111" s="203" t="str">
        <x:v>Steel</x:v>
      </x:c>
      <x:c r="D111" s="203" t="str">
        <x:v>Electric</x:v>
      </x:c>
      <x:c r="E111" s="203" t="str">
        <x:v>Spent Wealth Final</x:v>
      </x:c>
      <x:c r="F111" s="203" t="str">
        <x:v>Standard Final</x:v>
      </x:c>
      <x:c r="G111" s="203" t="str">
        <x:v>M | H | H | H | M | M-H</x:v>
      </x:c>
      <x:c r="H111" s="203" t="str">
        <x:v>Safekeep</x:v>
      </x:c>
      <x:c r="I111" s="203" t="str">
        <x:v>Static Hide</x:v>
      </x:c>
      <x:c r="J111" s="203" t="str">
        <x:v>Alternator</x:v>
      </x:c>
      <x:c r="K111" s="204" t="n">
        <x:v>70</x:v>
      </x:c>
      <x:c r="L111" s="204" t="n">
        <x:v>90</x:v>
      </x:c>
      <x:c r="M111" s="204" t="n">
        <x:v>95</x:v>
      </x:c>
      <x:c r="N111" s="204" t="n">
        <x:v>95</x:v>
      </x:c>
      <x:c r="O111" s="204" t="n">
        <x:v>70</x:v>
      </x:c>
      <x:c r="P111" s="204" t="n">
        <x:v>80</x:v>
      </x:c>
      <x:c r="Q111" s="204" t="n">
        <x:f>SUM(K111:P111)</x:f>
        <x:v>500</x:v>
      </x:c>
      <x:c r="R111" s="204" t="n">
        <x:v>500</x:v>
      </x:c>
      <x:c r="S111" s="204" t="n">
        <x:f>Q111-R111</x:f>
        <x:v>0</x:v>
      </x:c>
      <x:c r="T111" s="203" t="str">
        <x:v>Leans on Defense / Sp. Atk; gives up HP / Sp. Def to preserve the handoff profile M | H | H | H | M | M-H.</x:v>
      </x:c>
      <x:c r="U111" s="203" t="str">
        <x:v>Standard</x:v>
      </x:c>
      <x:c r="V111" s="203" t="str">
        <x:v>Standard</x:v>
      </x:c>
      <x:c r="W111" s="203" t="str">
        <x:v>Standard</x:v>
      </x:c>
      <x:c r="X111" s="205" t="str">
        <x:v>187-Monster Ability &amp; BST Design Handoff</x:v>
      </x:c>
    </x:row>
    <x:row r="112">
      <x:c r="A112" s="202" t="n">
        <x:v>110</x:v>
      </x:c>
      <x:c r="B112" s="203" t="str">
        <x:v>Styxlet</x:v>
      </x:c>
      <x:c r="C112" s="203" t="str">
        <x:v>Poison</x:v>
      </x:c>
      <x:c r="D112" s="203" t="str"/>
      <x:c r="E112" s="203" t="str">
        <x:v>Temper Split Base</x:v>
      </x:c>
      <x:c r="F112" s="203" t="str">
        <x:v>Base / Early</x:v>
      </x:c>
      <x:c r="G112" s="203" t="str">
        <x:v>M | M | M | M | M | M</x:v>
      </x:c>
      <x:c r="H112" s="203" t="str">
        <x:v>Toxinproof</x:v>
      </x:c>
      <x:c r="I112" s="203" t="str">
        <x:v>Adaptable Hide</x:v>
      </x:c>
      <x:c r="J112" s="203" t="str">
        <x:v>Patience</x:v>
      </x:c>
      <x:c r="K112" s="204" t="n">
        <x:v>50</x:v>
      </x:c>
      <x:c r="L112" s="204" t="n">
        <x:v>50</x:v>
      </x:c>
      <x:c r="M112" s="204" t="n">
        <x:v>50</x:v>
      </x:c>
      <x:c r="N112" s="204" t="n">
        <x:v>50</x:v>
      </x:c>
      <x:c r="O112" s="204" t="n">
        <x:v>50</x:v>
      </x:c>
      <x:c r="P112" s="204" t="n">
        <x:v>50</x:v>
      </x:c>
      <x:c r="Q112" s="204" t="n">
        <x:f>SUM(K112:P112)</x:f>
        <x:v>300</x:v>
      </x:c>
      <x:c r="R112" s="204" t="n">
        <x:v>300</x:v>
      </x:c>
      <x:c r="S112" s="204" t="n">
        <x:f>Q112-R112</x:f>
        <x:v>0</x:v>
      </x:c>
      <x:c r="T112" s="203" t="str">
        <x:v>Leans on HP / Attack; gives up HP / Attack to preserve the handoff profile M | M | M | M | M | M.</x:v>
      </x:c>
      <x:c r="U112" s="203" t="str">
        <x:v>Standard</x:v>
      </x:c>
      <x:c r="V112" s="203" t="str">
        <x:v>Standard</x:v>
      </x:c>
      <x:c r="W112" s="203" t="str">
        <x:v>Standard</x:v>
      </x:c>
      <x:c r="X112" s="205" t="str">
        <x:v>187-Monster Ability &amp; BST Design Handoff</x:v>
      </x:c>
    </x:row>
    <x:row r="113">
      <x:c r="A113" s="202" t="n">
        <x:v>111</x:v>
      </x:c>
      <x:c r="B113" s="203" t="str">
        <x:v>Ragegill</x:v>
      </x:c>
      <x:c r="C113" s="203" t="str">
        <x:v>Water</x:v>
      </x:c>
      <x:c r="D113" s="203" t="str">
        <x:v>Fire</x:v>
      </x:c>
      <x:c r="E113" s="203" t="str">
        <x:v>Rage Split Final</x:v>
      </x:c>
      <x:c r="F113" s="203" t="str">
        <x:v>Standard Final</x:v>
      </x:c>
      <x:c r="G113" s="203" t="str">
        <x:v>M-H | H | M | H | M-L | H</x:v>
      </x:c>
      <x:c r="H113" s="203" t="str">
        <x:v>Countercharge</x:v>
      </x:c>
      <x:c r="I113" s="203" t="str">
        <x:v>Steamheart</x:v>
      </x:c>
      <x:c r="J113" s="203" t="str">
        <x:v>Battle Rush</x:v>
      </x:c>
      <x:c r="K113" s="204" t="n">
        <x:v>85</x:v>
      </x:c>
      <x:c r="L113" s="204" t="n">
        <x:v>95</x:v>
      </x:c>
      <x:c r="M113" s="204" t="n">
        <x:v>70</x:v>
      </x:c>
      <x:c r="N113" s="204" t="n">
        <x:v>95</x:v>
      </x:c>
      <x:c r="O113" s="204" t="n">
        <x:v>60</x:v>
      </x:c>
      <x:c r="P113" s="204" t="n">
        <x:v>95</x:v>
      </x:c>
      <x:c r="Q113" s="204" t="n">
        <x:f>SUM(K113:P113)</x:f>
        <x:v>500</x:v>
      </x:c>
      <x:c r="R113" s="204" t="n">
        <x:v>500</x:v>
      </x:c>
      <x:c r="S113" s="204" t="n">
        <x:f>Q113-R113</x:f>
        <x:v>0</x:v>
      </x:c>
      <x:c r="T113" s="203" t="str">
        <x:v>Leans on Attack / Sp. Atk; gives up Sp. Def to preserve the handoff profile M-H | H | M | H | M-L | H.</x:v>
      </x:c>
      <x:c r="U113" s="203" t="str">
        <x:v>Standard</x:v>
      </x:c>
      <x:c r="V113" s="203" t="str">
        <x:v>Rare</x:v>
      </x:c>
      <x:c r="W113" s="203" t="str">
        <x:v>Standard</x:v>
      </x:c>
      <x:c r="X113" s="205" t="str">
        <x:v>187-Monster Ability &amp; BST Design Handoff</x:v>
      </x:c>
    </x:row>
    <x:row r="114">
      <x:c r="A114" s="202" t="n">
        <x:v>112</x:v>
      </x:c>
      <x:c r="B114" s="203" t="str">
        <x:v>Sulkoad</x:v>
      </x:c>
      <x:c r="C114" s="203" t="str">
        <x:v>Water</x:v>
      </x:c>
      <x:c r="D114" s="203" t="str">
        <x:v>Ice</x:v>
      </x:c>
      <x:c r="E114" s="203" t="str">
        <x:v>Sulk Split Final</x:v>
      </x:c>
      <x:c r="F114" s="203" t="str">
        <x:v>Standard Final</x:v>
      </x:c>
      <x:c r="G114" s="203" t="str">
        <x:v>H | M | H | M-H | VH | VL</x:v>
      </x:c>
      <x:c r="H114" s="203" t="str">
        <x:v>Coldproof</x:v>
      </x:c>
      <x:c r="I114" s="203" t="str">
        <x:v>Patience</x:v>
      </x:c>
      <x:c r="J114" s="203" t="str">
        <x:v>Stoneplate</x:v>
      </x:c>
      <x:c r="K114" s="204" t="n">
        <x:v>95</x:v>
      </x:c>
      <x:c r="L114" s="204" t="n">
        <x:v>70</x:v>
      </x:c>
      <x:c r="M114" s="204" t="n">
        <x:v>95</x:v>
      </x:c>
      <x:c r="N114" s="204" t="n">
        <x:v>85</x:v>
      </x:c>
      <x:c r="O114" s="204" t="n">
        <x:v>120</x:v>
      </x:c>
      <x:c r="P114" s="204" t="n">
        <x:v>35</x:v>
      </x:c>
      <x:c r="Q114" s="204" t="n">
        <x:f>SUM(K114:P114)</x:f>
        <x:v>500</x:v>
      </x:c>
      <x:c r="R114" s="204" t="n">
        <x:v>500</x:v>
      </x:c>
      <x:c r="S114" s="204" t="n">
        <x:f>Q114-R114</x:f>
        <x:v>0</x:v>
      </x:c>
      <x:c r="T114" s="203" t="str">
        <x:v>Leans on Sp. Def; gives up Speed to preserve the handoff profile H | M | H | M-H | VH | VL.</x:v>
      </x:c>
      <x:c r="U114" s="203" t="str">
        <x:v>Standard</x:v>
      </x:c>
      <x:c r="V114" s="203" t="str">
        <x:v>Standard</x:v>
      </x:c>
      <x:c r="W114" s="203" t="str">
        <x:v>Standard</x:v>
      </x:c>
      <x:c r="X114" s="205" t="str">
        <x:v>187-Monster Ability &amp; BST Design Handoff</x:v>
      </x:c>
    </x:row>
    <x:row r="115">
      <x:c r="A115" s="202" t="n">
        <x:v>113</x:v>
      </x:c>
      <x:c r="B115" s="203" t="str">
        <x:v>Embertle</x:v>
      </x:c>
      <x:c r="C115" s="203" t="str">
        <x:v>Fire</x:v>
      </x:c>
      <x:c r="D115" s="203" t="str"/>
      <x:c r="E115" s="203" t="str">
        <x:v>Forecast Stage 1</x:v>
      </x:c>
      <x:c r="F115" s="203" t="str">
        <x:v>Base / Early</x:v>
      </x:c>
      <x:c r="G115" s="203" t="str">
        <x:v>M-H | M | H | M | M-H | VL</x:v>
      </x:c>
      <x:c r="H115" s="203" t="str">
        <x:v>Foresight</x:v>
      </x:c>
      <x:c r="I115" s="203" t="str">
        <x:v>Stoneplate</x:v>
      </x:c>
      <x:c r="J115" s="203" t="str">
        <x:v>Keen Sense</x:v>
      </x:c>
      <x:c r="K115" s="204" t="n">
        <x:v>60</x:v>
      </x:c>
      <x:c r="L115" s="204" t="n">
        <x:v>50</x:v>
      </x:c>
      <x:c r="M115" s="204" t="n">
        <x:v>65</x:v>
      </x:c>
      <x:c r="N115" s="204" t="n">
        <x:v>50</x:v>
      </x:c>
      <x:c r="O115" s="204" t="n">
        <x:v>60</x:v>
      </x:c>
      <x:c r="P115" s="204" t="n">
        <x:v>20</x:v>
      </x:c>
      <x:c r="Q115" s="204" t="n">
        <x:f>SUM(K115:P115)</x:f>
        <x:v>305</x:v>
      </x:c>
      <x:c r="R115" s="204" t="n">
        <x:v>305</x:v>
      </x:c>
      <x:c r="S115" s="204" t="n">
        <x:f>Q115-R115</x:f>
        <x:v>0</x:v>
      </x:c>
      <x:c r="T115" s="203" t="str">
        <x:v>Leans on Defense / HP; gives up Speed to preserve the handoff profile M-H | M | H | M | M-H | VL.</x:v>
      </x:c>
      <x:c r="U115" s="203" t="str">
        <x:v>Standard</x:v>
      </x:c>
      <x:c r="V115" s="203" t="str">
        <x:v>Standard</x:v>
      </x:c>
      <x:c r="W115" s="203" t="str">
        <x:v>Standard</x:v>
      </x:c>
      <x:c r="X115" s="205" t="str">
        <x:v>187-Monster Ability &amp; BST Design Handoff</x:v>
      </x:c>
    </x:row>
    <x:row r="116">
      <x:c r="A116" s="202" t="n">
        <x:v>114</x:v>
      </x:c>
      <x:c r="B116" s="203" t="str">
        <x:v>Sepulchel</x:v>
      </x:c>
      <x:c r="C116" s="203" t="str">
        <x:v>Fire</x:v>
      </x:c>
      <x:c r="D116" s="203" t="str">
        <x:v>Steel</x:v>
      </x:c>
      <x:c r="E116" s="203" t="str">
        <x:v>Forecast Final</x:v>
      </x:c>
      <x:c r="F116" s="203" t="str">
        <x:v>Standard Final</x:v>
      </x:c>
      <x:c r="G116" s="203" t="str">
        <x:v>H | M | VH | H | H | VL</x:v>
      </x:c>
      <x:c r="H116" s="203" t="str">
        <x:v>Foresight</x:v>
      </x:c>
      <x:c r="I116" s="203" t="str">
        <x:v>Stoneplate</x:v>
      </x:c>
      <x:c r="J116" s="203" t="str">
        <x:v>Calm Guard</x:v>
      </x:c>
      <x:c r="K116" s="204" t="n">
        <x:v>95</x:v>
      </x:c>
      <x:c r="L116" s="204" t="n">
        <x:v>70</x:v>
      </x:c>
      <x:c r="M116" s="204" t="n">
        <x:v>120</x:v>
      </x:c>
      <x:c r="N116" s="204" t="n">
        <x:v>100</x:v>
      </x:c>
      <x:c r="O116" s="204" t="n">
        <x:v>100</x:v>
      </x:c>
      <x:c r="P116" s="204" t="n">
        <x:v>30</x:v>
      </x:c>
      <x:c r="Q116" s="204" t="n">
        <x:f>SUM(K116:P116)</x:f>
        <x:v>515</x:v>
      </x:c>
      <x:c r="R116" s="204" t="n">
        <x:v>515</x:v>
      </x:c>
      <x:c r="S116" s="204" t="n">
        <x:f>Q116-R116</x:f>
        <x:v>0</x:v>
      </x:c>
      <x:c r="T116" s="203" t="str">
        <x:v>Leans on Defense; gives up Speed to preserve the handoff profile H | M | VH | H | H | VL.</x:v>
      </x:c>
      <x:c r="U116" s="203" t="str">
        <x:v>Standard</x:v>
      </x:c>
      <x:c r="V116" s="203" t="str">
        <x:v>Standard</x:v>
      </x:c>
      <x:c r="W116" s="203" t="str">
        <x:v>Standard</x:v>
      </x:c>
      <x:c r="X116" s="205" t="str">
        <x:v>187-Monster Ability &amp; BST Design Handoff</x:v>
      </x:c>
    </x:row>
    <x:row r="117">
      <x:c r="A117" s="202" t="n">
        <x:v>115</x:v>
      </x:c>
      <x:c r="B117" s="203" t="str">
        <x:v>Triskit</x:v>
      </x:c>
      <x:c r="C117" s="203" t="str">
        <x:v>Normal</x:v>
      </x:c>
      <x:c r="D117" s="203" t="str"/>
      <x:c r="E117" s="203" t="str">
        <x:v>Three-way Split Base</x:v>
      </x:c>
      <x:c r="F117" s="203" t="str">
        <x:v>Base / Early</x:v>
      </x:c>
      <x:c r="G117" s="203" t="str">
        <x:v>M | M | M | M | M | M</x:v>
      </x:c>
      <x:c r="H117" s="203" t="str">
        <x:v>Adaptable Hide</x:v>
      </x:c>
      <x:c r="I117" s="203" t="str">
        <x:v>Wayfarer</x:v>
      </x:c>
      <x:c r="J117" s="203" t="str">
        <x:v>Foresight</x:v>
      </x:c>
      <x:c r="K117" s="204" t="n">
        <x:v>50</x:v>
      </x:c>
      <x:c r="L117" s="204" t="n">
        <x:v>55</x:v>
      </x:c>
      <x:c r="M117" s="204" t="n">
        <x:v>55</x:v>
      </x:c>
      <x:c r="N117" s="204" t="n">
        <x:v>55</x:v>
      </x:c>
      <x:c r="O117" s="204" t="n">
        <x:v>55</x:v>
      </x:c>
      <x:c r="P117" s="204" t="n">
        <x:v>50</x:v>
      </x:c>
      <x:c r="Q117" s="204" t="n">
        <x:f>SUM(K117:P117)</x:f>
        <x:v>320</x:v>
      </x:c>
      <x:c r="R117" s="204" t="n">
        <x:v>320</x:v>
      </x:c>
      <x:c r="S117" s="204" t="n">
        <x:f>Q117-R117</x:f>
        <x:v>0</x:v>
      </x:c>
      <x:c r="T117" s="203" t="str">
        <x:v>Leans on Attack / Defense; gives up HP / Attack to preserve the handoff profile M | M | M | M | M | M.</x:v>
      </x:c>
      <x:c r="U117" s="203" t="str">
        <x:v>Standard</x:v>
      </x:c>
      <x:c r="V117" s="203" t="str">
        <x:v>Standard</x:v>
      </x:c>
      <x:c r="W117" s="203" t="str">
        <x:v>Standard</x:v>
      </x:c>
      <x:c r="X117" s="205" t="str">
        <x:v>187-Monster Ability &amp; BST Design Handoff</x:v>
      </x:c>
    </x:row>
    <x:row r="118">
      <x:c r="A118" s="202" t="n">
        <x:v>116</x:v>
      </x:c>
      <x:c r="B118" s="203" t="str">
        <x:v>Phlegacorn</x:v>
      </x:c>
      <x:c r="C118" s="203" t="str">
        <x:v>Fighting</x:v>
      </x:c>
      <x:c r="D118" s="203" t="str">
        <x:v>Water</x:v>
      </x:c>
      <x:c r="E118" s="203" t="str">
        <x:v>Aggression Split Final</x:v>
      </x:c>
      <x:c r="F118" s="203" t="str">
        <x:v>Standard Final</x:v>
      </x:c>
      <x:c r="G118" s="203" t="str">
        <x:v>H | H | H | M | M-H | M</x:v>
      </x:c>
      <x:c r="H118" s="203" t="str">
        <x:v>Countercharge</x:v>
      </x:c>
      <x:c r="I118" s="203" t="str">
        <x:v>Hard Head</x:v>
      </x:c>
      <x:c r="J118" s="203" t="str">
        <x:v>Battle Rush</x:v>
      </x:c>
      <x:c r="K118" s="204" t="n">
        <x:v>95</x:v>
      </x:c>
      <x:c r="L118" s="204" t="n">
        <x:v>95</x:v>
      </x:c>
      <x:c r="M118" s="204" t="n">
        <x:v>100</x:v>
      </x:c>
      <x:c r="N118" s="204" t="n">
        <x:v>70</x:v>
      </x:c>
      <x:c r="O118" s="204" t="n">
        <x:v>85</x:v>
      </x:c>
      <x:c r="P118" s="204" t="n">
        <x:v>70</x:v>
      </x:c>
      <x:c r="Q118" s="204" t="n">
        <x:f>SUM(K118:P118)</x:f>
        <x:v>515</x:v>
      </x:c>
      <x:c r="R118" s="204" t="n">
        <x:v>515</x:v>
      </x:c>
      <x:c r="S118" s="204" t="n">
        <x:f>Q118-R118</x:f>
        <x:v>0</x:v>
      </x:c>
      <x:c r="T118" s="203" t="str">
        <x:v>Leans on Defense / HP; gives up Sp. Atk / Speed to preserve the handoff profile H | H | H | M | M-H | M.</x:v>
      </x:c>
      <x:c r="U118" s="203" t="str">
        <x:v>Standard</x:v>
      </x:c>
      <x:c r="V118" s="203" t="str">
        <x:v>Standard</x:v>
      </x:c>
      <x:c r="W118" s="203" t="str">
        <x:v>Standard</x:v>
      </x:c>
      <x:c r="X118" s="205" t="str">
        <x:v>187-Monster Ability &amp; BST Design Handoff</x:v>
      </x:c>
    </x:row>
    <x:row r="119">
      <x:c r="A119" s="202" t="n">
        <x:v>117</x:v>
      </x:c>
      <x:c r="B119" s="203" t="str">
        <x:v>Harpbriar</x:v>
      </x:c>
      <x:c r="C119" s="203" t="str">
        <x:v>Grass</x:v>
      </x:c>
      <x:c r="D119" s="203" t="str">
        <x:v>Ghost</x:v>
      </x:c>
      <x:c r="E119" s="203" t="str">
        <x:v>Root Split Final</x:v>
      </x:c>
      <x:c r="F119" s="203" t="str">
        <x:v>Standard Final</x:v>
      </x:c>
      <x:c r="G119" s="203" t="str">
        <x:v>H | H | M-H | H | H | L-M</x:v>
      </x:c>
      <x:c r="H119" s="203" t="str">
        <x:v>Medicinal Sap</x:v>
      </x:c>
      <x:c r="I119" s="203" t="str">
        <x:v>Thornhide</x:v>
      </x:c>
      <x:c r="J119" s="203" t="str">
        <x:v>Earthroot</x:v>
      </x:c>
      <x:c r="K119" s="204" t="n">
        <x:v>95</x:v>
      </x:c>
      <x:c r="L119" s="204" t="n">
        <x:v>95</x:v>
      </x:c>
      <x:c r="M119" s="204" t="n">
        <x:v>80</x:v>
      </x:c>
      <x:c r="N119" s="204" t="n">
        <x:v>95</x:v>
      </x:c>
      <x:c r="O119" s="204" t="n">
        <x:v>95</x:v>
      </x:c>
      <x:c r="P119" s="204" t="n">
        <x:v>55</x:v>
      </x:c>
      <x:c r="Q119" s="204" t="n">
        <x:f>SUM(K119:P119)</x:f>
        <x:v>515</x:v>
      </x:c>
      <x:c r="R119" s="204" t="n">
        <x:v>515</x:v>
      </x:c>
      <x:c r="S119" s="204" t="n">
        <x:f>Q119-R119</x:f>
        <x:v>0</x:v>
      </x:c>
      <x:c r="T119" s="203" t="str">
        <x:v>Leans on HP / Attack; gives up Speed to preserve the handoff profile H | H | M-H | H | H | L-M.</x:v>
      </x:c>
      <x:c r="U119" s="203" t="str">
        <x:v>Standard</x:v>
      </x:c>
      <x:c r="V119" s="203" t="str">
        <x:v>Standard</x:v>
      </x:c>
      <x:c r="W119" s="203" t="str">
        <x:v>Standard</x:v>
      </x:c>
      <x:c r="X119" s="205" t="str">
        <x:v>187-Monster Ability &amp; BST Design Handoff</x:v>
      </x:c>
    </x:row>
    <x:row r="120">
      <x:c r="A120" s="202" t="n">
        <x:v>118</x:v>
      </x:c>
      <x:c r="B120" s="203" t="str">
        <x:v>Searwaste</x:v>
      </x:c>
      <x:c r="C120" s="203" t="str">
        <x:v>Ground</x:v>
      </x:c>
      <x:c r="D120" s="203" t="str">
        <x:v>Fire</x:v>
      </x:c>
      <x:c r="E120" s="203" t="str">
        <x:v>Glass Split Final</x:v>
      </x:c>
      <x:c r="F120" s="203" t="str">
        <x:v>Standard Final</x:v>
      </x:c>
      <x:c r="G120" s="203" t="str">
        <x:v>H | H | VH | M | M | L</x:v>
      </x:c>
      <x:c r="H120" s="203" t="str">
        <x:v>Cinderhide</x:v>
      </x:c>
      <x:c r="I120" s="203" t="str">
        <x:v>Stoneplate</x:v>
      </x:c>
      <x:c r="J120" s="203" t="str">
        <x:v>Firm Stance</x:v>
      </x:c>
      <x:c r="K120" s="204" t="n">
        <x:v>100</x:v>
      </x:c>
      <x:c r="L120" s="204" t="n">
        <x:v>100</x:v>
      </x:c>
      <x:c r="M120" s="204" t="n">
        <x:v>120</x:v>
      </x:c>
      <x:c r="N120" s="204" t="n">
        <x:v>75</x:v>
      </x:c>
      <x:c r="O120" s="204" t="n">
        <x:v>75</x:v>
      </x:c>
      <x:c r="P120" s="204" t="n">
        <x:v>45</x:v>
      </x:c>
      <x:c r="Q120" s="204" t="n">
        <x:f>SUM(K120:P120)</x:f>
        <x:v>515</x:v>
      </x:c>
      <x:c r="R120" s="204" t="n">
        <x:v>515</x:v>
      </x:c>
      <x:c r="S120" s="204" t="n">
        <x:f>Q120-R120</x:f>
        <x:v>0</x:v>
      </x:c>
      <x:c r="T120" s="203" t="str">
        <x:v>Leans on Defense; gives up Speed to preserve the handoff profile H | H | VH | M | M | L.</x:v>
      </x:c>
      <x:c r="U120" s="203" t="str">
        <x:v>Standard</x:v>
      </x:c>
      <x:c r="V120" s="203" t="str">
        <x:v>Standard</x:v>
      </x:c>
      <x:c r="W120" s="203" t="str">
        <x:v>Standard</x:v>
      </x:c>
      <x:c r="X120" s="205" t="str">
        <x:v>187-Monster Ability &amp; BST Design Handoff</x:v>
      </x:c>
    </x:row>
    <x:row r="121">
      <x:c r="A121" s="202" t="n">
        <x:v>119</x:v>
      </x:c>
      <x:c r="B121" s="203" t="str">
        <x:v>Feignid</x:v>
      </x:c>
      <x:c r="C121" s="203" t="str">
        <x:v>Bug</x:v>
      </x:c>
      <x:c r="D121" s="203" t="str"/>
      <x:c r="E121" s="203" t="str">
        <x:v>Decoy Stage 1</x:v>
      </x:c>
      <x:c r="F121" s="203" t="str">
        <x:v>Base / Early</x:v>
      </x:c>
      <x:c r="G121" s="203" t="str">
        <x:v>L | L-M | L | M-H | M | H</x:v>
      </x:c>
      <x:c r="H121" s="203" t="str">
        <x:v>Feintstep</x:v>
      </x:c>
      <x:c r="I121" s="203" t="str">
        <x:v>Ambush</x:v>
      </x:c>
      <x:c r="J121" s="203" t="str">
        <x:v>Camouflage</x:v>
      </x:c>
      <x:c r="K121" s="204" t="n">
        <x:v>35</x:v>
      </x:c>
      <x:c r="L121" s="204" t="n">
        <x:v>40</x:v>
      </x:c>
      <x:c r="M121" s="204" t="n">
        <x:v>35</x:v>
      </x:c>
      <x:c r="N121" s="204" t="n">
        <x:v>60</x:v>
      </x:c>
      <x:c r="O121" s="204" t="n">
        <x:v>50</x:v>
      </x:c>
      <x:c r="P121" s="204" t="n">
        <x:v>70</x:v>
      </x:c>
      <x:c r="Q121" s="204" t="n">
        <x:f>SUM(K121:P121)</x:f>
        <x:v>290</x:v>
      </x:c>
      <x:c r="R121" s="204" t="n">
        <x:v>290</x:v>
      </x:c>
      <x:c r="S121" s="204" t="n">
        <x:f>Q121-R121</x:f>
        <x:v>0</x:v>
      </x:c>
      <x:c r="T121" s="203" t="str">
        <x:v>Leans on Speed; gives up HP / Attack to preserve the handoff profile L | L-M | L | M-H | M | H.</x:v>
      </x:c>
      <x:c r="U121" s="203" t="str">
        <x:v>Standard</x:v>
      </x:c>
      <x:c r="V121" s="203" t="str">
        <x:v>Standard</x:v>
      </x:c>
      <x:c r="W121" s="203" t="str">
        <x:v>Standard</x:v>
      </x:c>
      <x:c r="X121" s="205" t="str">
        <x:v>187-Monster Ability &amp; BST Design Handoff</x:v>
      </x:c>
    </x:row>
    <x:row r="122">
      <x:c r="A122" s="202" t="n">
        <x:v>120</x:v>
      </x:c>
      <x:c r="B122" s="203" t="str">
        <x:v>Malebolace</x:v>
      </x:c>
      <x:c r="C122" s="203" t="str">
        <x:v>Bug</x:v>
      </x:c>
      <x:c r="D122" s="203" t="str">
        <x:v>Poison</x:v>
      </x:c>
      <x:c r="E122" s="203" t="str">
        <x:v>Decoy Final</x:v>
      </x:c>
      <x:c r="F122" s="203" t="str">
        <x:v>Standard Final</x:v>
      </x:c>
      <x:c r="G122" s="203" t="str">
        <x:v>M | M | M | H | H | H</x:v>
      </x:c>
      <x:c r="H122" s="203" t="str">
        <x:v>Feintstep</x:v>
      </x:c>
      <x:c r="I122" s="203" t="str">
        <x:v>Poison Barbs</x:v>
      </x:c>
      <x:c r="J122" s="203" t="str">
        <x:v>Ambush</x:v>
      </x:c>
      <x:c r="K122" s="204" t="n">
        <x:v>70</x:v>
      </x:c>
      <x:c r="L122" s="204" t="n">
        <x:v>70</x:v>
      </x:c>
      <x:c r="M122" s="204" t="n">
        <x:v>70</x:v>
      </x:c>
      <x:c r="N122" s="204" t="n">
        <x:v>95</x:v>
      </x:c>
      <x:c r="O122" s="204" t="n">
        <x:v>100</x:v>
      </x:c>
      <x:c r="P122" s="204" t="n">
        <x:v>100</x:v>
      </x:c>
      <x:c r="Q122" s="204" t="n">
        <x:f>SUM(K122:P122)</x:f>
        <x:v>505</x:v>
      </x:c>
      <x:c r="R122" s="204" t="n">
        <x:v>505</x:v>
      </x:c>
      <x:c r="S122" s="204" t="n">
        <x:f>Q122-R122</x:f>
        <x:v>0</x:v>
      </x:c>
      <x:c r="T122" s="203" t="str">
        <x:v>Leans on Sp. Def / Speed; gives up HP / Attack to preserve the handoff profile M | M | M | H | H | H.</x:v>
      </x:c>
      <x:c r="U122" s="203" t="str">
        <x:v>Standard</x:v>
      </x:c>
      <x:c r="V122" s="203" t="str">
        <x:v>Standard</x:v>
      </x:c>
      <x:c r="W122" s="203" t="str">
        <x:v>Standard</x:v>
      </x:c>
      <x:c r="X122" s="205" t="str">
        <x:v>187-Monster Ability &amp; BST Design Handoff</x:v>
      </x:c>
    </x:row>
    <x:row r="123">
      <x:c r="A123" s="202" t="n">
        <x:v>121</x:v>
      </x:c>
      <x:c r="B123" s="203" t="str">
        <x:v>Kincoil</x:v>
      </x:c>
      <x:c r="C123" s="203" t="str">
        <x:v>Ice</x:v>
      </x:c>
      <x:c r="D123" s="203" t="str"/>
      <x:c r="E123" s="203" t="str">
        <x:v>Pact Stage 1</x:v>
      </x:c>
      <x:c r="F123" s="203" t="str">
        <x:v>Base / Early</x:v>
      </x:c>
      <x:c r="G123" s="203" t="str">
        <x:v>M | M | H | L | M-H | L</x:v>
      </x:c>
      <x:c r="H123" s="203" t="str">
        <x:v>Coldproof</x:v>
      </x:c>
      <x:c r="I123" s="203" t="str">
        <x:v>Pack Guard</x:v>
      </x:c>
      <x:c r="J123" s="203" t="str">
        <x:v>Surefoot</x:v>
      </x:c>
      <x:c r="K123" s="204" t="n">
        <x:v>55</x:v>
      </x:c>
      <x:c r="L123" s="204" t="n">
        <x:v>55</x:v>
      </x:c>
      <x:c r="M123" s="204" t="n">
        <x:v>70</x:v>
      </x:c>
      <x:c r="N123" s="204" t="n">
        <x:v>35</x:v>
      </x:c>
      <x:c r="O123" s="204" t="n">
        <x:v>60</x:v>
      </x:c>
      <x:c r="P123" s="204" t="n">
        <x:v>35</x:v>
      </x:c>
      <x:c r="Q123" s="204" t="n">
        <x:f>SUM(K123:P123)</x:f>
        <x:v>310</x:v>
      </x:c>
      <x:c r="R123" s="204" t="n">
        <x:v>310</x:v>
      </x:c>
      <x:c r="S123" s="204" t="n">
        <x:f>Q123-R123</x:f>
        <x:v>0</x:v>
      </x:c>
      <x:c r="T123" s="203" t="str">
        <x:v>Leans on Defense; gives up Sp. Atk / Speed to preserve the handoff profile M | M | H | L | M-H | L.</x:v>
      </x:c>
      <x:c r="U123" s="203" t="str">
        <x:v>Standard</x:v>
      </x:c>
      <x:c r="V123" s="203" t="str">
        <x:v>Standard</x:v>
      </x:c>
      <x:c r="W123" s="203" t="str">
        <x:v>Standard</x:v>
      </x:c>
      <x:c r="X123" s="205" t="str">
        <x:v>187-Monster Ability &amp; BST Design Handoff</x:v>
      </x:c>
    </x:row>
    <x:row r="124">
      <x:c r="A124" s="202" t="n">
        <x:v>122</x:v>
      </x:c>
      <x:c r="B124" s="203" t="str">
        <x:v>Pactolin</x:v>
      </x:c>
      <x:c r="C124" s="203" t="str">
        <x:v>Ice</x:v>
      </x:c>
      <x:c r="D124" s="203" t="str"/>
      <x:c r="E124" s="203" t="str">
        <x:v>Pact Stage 2</x:v>
      </x:c>
      <x:c r="F124" s="203" t="str">
        <x:v>Middle / Evolving</x:v>
      </x:c>
      <x:c r="G124" s="203" t="str">
        <x:v>H | M-H | H | L | H | L-M</x:v>
      </x:c>
      <x:c r="H124" s="203" t="str">
        <x:v>Coldproof</x:v>
      </x:c>
      <x:c r="I124" s="203" t="str">
        <x:v>Pack Guard</x:v>
      </x:c>
      <x:c r="J124" s="203" t="str">
        <x:v>Surefoot</x:v>
      </x:c>
      <x:c r="K124" s="204" t="n">
        <x:v>85</x:v>
      </x:c>
      <x:c r="L124" s="204" t="n">
        <x:v>75</x:v>
      </x:c>
      <x:c r="M124" s="204" t="n">
        <x:v>85</x:v>
      </x:c>
      <x:c r="N124" s="204" t="n">
        <x:v>40</x:v>
      </x:c>
      <x:c r="O124" s="204" t="n">
        <x:v>85</x:v>
      </x:c>
      <x:c r="P124" s="204" t="n">
        <x:v>50</x:v>
      </x:c>
      <x:c r="Q124" s="204" t="n">
        <x:f>SUM(K124:P124)</x:f>
        <x:v>420</x:v>
      </x:c>
      <x:c r="R124" s="204" t="n">
        <x:v>420</x:v>
      </x:c>
      <x:c r="S124" s="204" t="n">
        <x:f>Q124-R124</x:f>
        <x:v>0</x:v>
      </x:c>
      <x:c r="T124" s="203" t="str">
        <x:v>Leans on HP / Defense; gives up Sp. Atk to preserve the handoff profile H | M-H | H | L | H | L-M.</x:v>
      </x:c>
      <x:c r="U124" s="203" t="str">
        <x:v>Standard</x:v>
      </x:c>
      <x:c r="V124" s="203" t="str">
        <x:v>Standard</x:v>
      </x:c>
      <x:c r="W124" s="203" t="str">
        <x:v>Standard</x:v>
      </x:c>
      <x:c r="X124" s="205" t="str">
        <x:v>187-Monster Ability &amp; BST Design Handoff</x:v>
      </x:c>
    </x:row>
    <x:row r="125">
      <x:c r="A125" s="202" t="n">
        <x:v>123</x:v>
      </x:c>
      <x:c r="B125" s="203" t="str">
        <x:v>Cocytalon</x:v>
      </x:c>
      <x:c r="C125" s="203" t="str">
        <x:v>Ice</x:v>
      </x:c>
      <x:c r="D125" s="203" t="str">
        <x:v>Dragon</x:v>
      </x:c>
      <x:c r="E125" s="203" t="str">
        <x:v>Pact Final</x:v>
      </x:c>
      <x:c r="F125" s="203" t="str">
        <x:v>Elite Final</x:v>
      </x:c>
      <x:c r="G125" s="203" t="str">
        <x:v>H | VH | VH | L | H | L</x:v>
      </x:c>
      <x:c r="H125" s="203" t="str">
        <x:v>Coldproof</x:v>
      </x:c>
      <x:c r="I125" s="203" t="str">
        <x:v>Pack Guard</x:v>
      </x:c>
      <x:c r="J125" s="203" t="str">
        <x:v>Protector</x:v>
      </x:c>
      <x:c r="K125" s="204" t="n">
        <x:v>100</x:v>
      </x:c>
      <x:c r="L125" s="204" t="n">
        <x:v>125</x:v>
      </x:c>
      <x:c r="M125" s="204" t="n">
        <x:v>125</x:v>
      </x:c>
      <x:c r="N125" s="204" t="n">
        <x:v>50</x:v>
      </x:c>
      <x:c r="O125" s="204" t="n">
        <x:v>100</x:v>
      </x:c>
      <x:c r="P125" s="204" t="n">
        <x:v>50</x:v>
      </x:c>
      <x:c r="Q125" s="204" t="n">
        <x:f>SUM(K125:P125)</x:f>
        <x:v>550</x:v>
      </x:c>
      <x:c r="R125" s="204" t="n">
        <x:v>550</x:v>
      </x:c>
      <x:c r="S125" s="204" t="n">
        <x:f>Q125-R125</x:f>
        <x:v>0</x:v>
      </x:c>
      <x:c r="T125" s="203" t="str">
        <x:v>Leans on Attack / Defense; gives up Sp. Atk / Speed to preserve the handoff profile H | VH | VH | L | H | L.</x:v>
      </x:c>
      <x:c r="U125" s="203" t="str">
        <x:v>Standard</x:v>
      </x:c>
      <x:c r="V125" s="203" t="str">
        <x:v>Standard</x:v>
      </x:c>
      <x:c r="W125" s="203" t="str">
        <x:v>Standard</x:v>
      </x:c>
      <x:c r="X125" s="205" t="str">
        <x:v>187-Monster Ability &amp; BST Design Handoff</x:v>
      </x:c>
    </x:row>
    <x:row r="126">
      <x:c r="A126" s="202" t="n">
        <x:v>124</x:v>
      </x:c>
      <x:c r="B126" s="203" t="str">
        <x:v>Hexamuse</x:v>
      </x:c>
      <x:c r="C126" s="203" t="str">
        <x:v>Normal</x:v>
      </x:c>
      <x:c r="D126" s="203" t="str">
        <x:v>Ghost</x:v>
      </x:c>
      <x:c r="E126" s="203" t="str">
        <x:v>Rare Single-stage</x:v>
      </x:c>
      <x:c r="F126" s="203" t="str">
        <x:v>Single-stage</x:v>
      </x:c>
      <x:c r="G126" s="203" t="str">
        <x:v>M | L | M | M-H | H | M-H</x:v>
      </x:c>
      <x:c r="H126" s="203" t="str">
        <x:v>Soundproof</x:v>
      </x:c>
      <x:c r="I126" s="203" t="str">
        <x:v>Unfazed</x:v>
      </x:c>
      <x:c r="J126" s="203" t="str">
        <x:v>Wayfarer</x:v>
      </x:c>
      <x:c r="K126" s="204" t="n">
        <x:v>75</x:v>
      </x:c>
      <x:c r="L126" s="204" t="n">
        <x:v>50</x:v>
      </x:c>
      <x:c r="M126" s="204" t="n">
        <x:v>75</x:v>
      </x:c>
      <x:c r="N126" s="204" t="n">
        <x:v>85</x:v>
      </x:c>
      <x:c r="O126" s="204" t="n">
        <x:v>100</x:v>
      </x:c>
      <x:c r="P126" s="204" t="n">
        <x:v>85</x:v>
      </x:c>
      <x:c r="Q126" s="204" t="n">
        <x:f>SUM(K126:P126)</x:f>
        <x:v>470</x:v>
      </x:c>
      <x:c r="R126" s="204" t="n">
        <x:v>470</x:v>
      </x:c>
      <x:c r="S126" s="204" t="n">
        <x:f>Q126-R126</x:f>
        <x:v>0</x:v>
      </x:c>
      <x:c r="T126" s="203" t="str">
        <x:v>Leans on Sp. Def; gives up Attack to preserve the handoff profile M | L | M | M-H | H | M-H.</x:v>
      </x:c>
      <x:c r="U126" s="203" t="str">
        <x:v>Standard</x:v>
      </x:c>
      <x:c r="V126" s="203" t="str">
        <x:v>Standard</x:v>
      </x:c>
      <x:c r="W126" s="203" t="str">
        <x:v>Standard</x:v>
      </x:c>
      <x:c r="X126" s="205" t="str">
        <x:v>187-Monster Ability &amp; BST Design Handoff</x:v>
      </x:c>
    </x:row>
    <x:row r="127">
      <x:c r="A127" s="202" t="n">
        <x:v>125</x:v>
      </x:c>
      <x:c r="B127" s="203" t="str">
        <x:v>Scarabel</x:v>
      </x:c>
      <x:c r="C127" s="203" t="str">
        <x:v>Bug</x:v>
      </x:c>
      <x:c r="D127" s="203" t="str"/>
      <x:c r="E127" s="203" t="str">
        <x:v>Bulwark Stage 1</x:v>
      </x:c>
      <x:c r="F127" s="203" t="str">
        <x:v>Base / Early</x:v>
      </x:c>
      <x:c r="G127" s="203" t="str">
        <x:v>M | M-H | H | L | M | L-M</x:v>
      </x:c>
      <x:c r="H127" s="203" t="str">
        <x:v>Thornhide</x:v>
      </x:c>
      <x:c r="I127" s="203" t="str">
        <x:v>Protector</x:v>
      </x:c>
      <x:c r="J127" s="203" t="str">
        <x:v>Bulwark</x:v>
      </x:c>
      <x:c r="K127" s="204" t="n">
        <x:v>50</x:v>
      </x:c>
      <x:c r="L127" s="204" t="n">
        <x:v>60</x:v>
      </x:c>
      <x:c r="M127" s="204" t="n">
        <x:v>70</x:v>
      </x:c>
      <x:c r="N127" s="204" t="n">
        <x:v>35</x:v>
      </x:c>
      <x:c r="O127" s="204" t="n">
        <x:v>50</x:v>
      </x:c>
      <x:c r="P127" s="204" t="n">
        <x:v>40</x:v>
      </x:c>
      <x:c r="Q127" s="204" t="n">
        <x:f>SUM(K127:P127)</x:f>
        <x:v>305</x:v>
      </x:c>
      <x:c r="R127" s="204" t="n">
        <x:v>305</x:v>
      </x:c>
      <x:c r="S127" s="204" t="n">
        <x:f>Q127-R127</x:f>
        <x:v>0</x:v>
      </x:c>
      <x:c r="T127" s="203" t="str">
        <x:v>Leans on Defense; gives up Sp. Atk / Speed to preserve the handoff profile M | M-H | H | L | M | L-M.</x:v>
      </x:c>
      <x:c r="U127" s="203" t="str">
        <x:v>Standard</x:v>
      </x:c>
      <x:c r="V127" s="203" t="str">
        <x:v>Standard</x:v>
      </x:c>
      <x:c r="W127" s="203" t="str">
        <x:v>Standard</x:v>
      </x:c>
      <x:c r="X127" s="205" t="str">
        <x:v>187-Monster Ability &amp; BST Design Handoff</x:v>
      </x:c>
    </x:row>
    <x:row r="128">
      <x:c r="A128" s="202" t="n">
        <x:v>126</x:v>
      </x:c>
      <x:c r="B128" s="203" t="str">
        <x:v>Bulwarkab</x:v>
      </x:c>
      <x:c r="C128" s="203" t="str">
        <x:v>Bug</x:v>
      </x:c>
      <x:c r="D128" s="203" t="str">
        <x:v>Steel</x:v>
      </x:c>
      <x:c r="E128" s="203" t="str">
        <x:v>Bulwark Final</x:v>
      </x:c>
      <x:c r="F128" s="203" t="str">
        <x:v>Standard Final</x:v>
      </x:c>
      <x:c r="G128" s="203" t="str">
        <x:v>H | H | VH | L | H | VL</x:v>
      </x:c>
      <x:c r="H128" s="203" t="str">
        <x:v>Thornhide</x:v>
      </x:c>
      <x:c r="I128" s="203" t="str">
        <x:v>Protector</x:v>
      </x:c>
      <x:c r="J128" s="203" t="str">
        <x:v>Bulwark</x:v>
      </x:c>
      <x:c r="K128" s="204" t="n">
        <x:v>100</x:v>
      </x:c>
      <x:c r="L128" s="204" t="n">
        <x:v>100</x:v>
      </x:c>
      <x:c r="M128" s="204" t="n">
        <x:v>125</x:v>
      </x:c>
      <x:c r="N128" s="204" t="n">
        <x:v>45</x:v>
      </x:c>
      <x:c r="O128" s="204" t="n">
        <x:v>100</x:v>
      </x:c>
      <x:c r="P128" s="204" t="n">
        <x:v>35</x:v>
      </x:c>
      <x:c r="Q128" s="204" t="n">
        <x:f>SUM(K128:P128)</x:f>
        <x:v>505</x:v>
      </x:c>
      <x:c r="R128" s="204" t="n">
        <x:v>505</x:v>
      </x:c>
      <x:c r="S128" s="204" t="n">
        <x:f>Q128-R128</x:f>
        <x:v>0</x:v>
      </x:c>
      <x:c r="T128" s="203" t="str">
        <x:v>Leans on Defense; gives up Speed to preserve the handoff profile H | H | VH | L | H | VL.</x:v>
      </x:c>
      <x:c r="U128" s="203" t="str">
        <x:v>Standard</x:v>
      </x:c>
      <x:c r="V128" s="203" t="str">
        <x:v>Standard</x:v>
      </x:c>
      <x:c r="W128" s="203" t="str">
        <x:v>Standard</x:v>
      </x:c>
      <x:c r="X128" s="205" t="str">
        <x:v>187-Monster Ability &amp; BST Design Handoff</x:v>
      </x:c>
    </x:row>
    <x:row r="129">
      <x:c r="A129" s="202" t="n">
        <x:v>127</x:v>
      </x:c>
      <x:c r="B129" s="203" t="str">
        <x:v>Mortargek</x:v>
      </x:c>
      <x:c r="C129" s="203" t="str">
        <x:v>Rock</x:v>
      </x:c>
      <x:c r="D129" s="203" t="str"/>
      <x:c r="E129" s="203" t="str">
        <x:v>Breach Stage 1</x:v>
      </x:c>
      <x:c r="F129" s="203" t="str">
        <x:v>Base / Early</x:v>
      </x:c>
      <x:c r="G129" s="203" t="str">
        <x:v>L-M | M | M | M | M | H</x:v>
      </x:c>
      <x:c r="H129" s="203" t="str">
        <x:v>Keen Sense</x:v>
      </x:c>
      <x:c r="I129" s="203" t="str">
        <x:v>Siege Breaker</x:v>
      </x:c>
      <x:c r="J129" s="203" t="str">
        <x:v>Focus Edge</x:v>
      </x:c>
      <x:c r="K129" s="204" t="n">
        <x:v>40</x:v>
      </x:c>
      <x:c r="L129" s="204" t="n">
        <x:v>45</x:v>
      </x:c>
      <x:c r="M129" s="204" t="n">
        <x:v>45</x:v>
      </x:c>
      <x:c r="N129" s="204" t="n">
        <x:v>50</x:v>
      </x:c>
      <x:c r="O129" s="204" t="n">
        <x:v>50</x:v>
      </x:c>
      <x:c r="P129" s="204" t="n">
        <x:v>65</x:v>
      </x:c>
      <x:c r="Q129" s="204" t="n">
        <x:f>SUM(K129:P129)</x:f>
        <x:v>295</x:v>
      </x:c>
      <x:c r="R129" s="204" t="n">
        <x:v>295</x:v>
      </x:c>
      <x:c r="S129" s="204" t="n">
        <x:f>Q129-R129</x:f>
        <x:v>0</x:v>
      </x:c>
      <x:c r="T129" s="203" t="str">
        <x:v>Leans on Speed; gives up HP / Attack to preserve the handoff profile L-M | M | M | M | M | H.</x:v>
      </x:c>
      <x:c r="U129" s="203" t="str">
        <x:v>Standard</x:v>
      </x:c>
      <x:c r="V129" s="203" t="str">
        <x:v>Standard</x:v>
      </x:c>
      <x:c r="W129" s="203" t="str">
        <x:v>Standard</x:v>
      </x:c>
      <x:c r="X129" s="205" t="str">
        <x:v>187-Monster Ability &amp; BST Design Handoff</x:v>
      </x:c>
    </x:row>
    <x:row r="130">
      <x:c r="A130" s="202" t="n">
        <x:v>128</x:v>
      </x:c>
      <x:c r="B130" s="203" t="str">
        <x:v>Sallyskink</x:v>
      </x:c>
      <x:c r="C130" s="203" t="str">
        <x:v>Rock</x:v>
      </x:c>
      <x:c r="D130" s="203" t="str">
        <x:v>Poison</x:v>
      </x:c>
      <x:c r="E130" s="203" t="str">
        <x:v>Breach Final</x:v>
      </x:c>
      <x:c r="F130" s="203" t="str">
        <x:v>Standard Final</x:v>
      </x:c>
      <x:c r="G130" s="203" t="str">
        <x:v>M | M-H | M | H | M | H</x:v>
      </x:c>
      <x:c r="H130" s="203" t="str">
        <x:v>Keen Sense</x:v>
      </x:c>
      <x:c r="I130" s="203" t="str">
        <x:v>Siege Breaker</x:v>
      </x:c>
      <x:c r="J130" s="203" t="str">
        <x:v>Poison Barbs</x:v>
      </x:c>
      <x:c r="K130" s="204" t="n">
        <x:v>70</x:v>
      </x:c>
      <x:c r="L130" s="204" t="n">
        <x:v>85</x:v>
      </x:c>
      <x:c r="M130" s="204" t="n">
        <x:v>70</x:v>
      </x:c>
      <x:c r="N130" s="204" t="n">
        <x:v>100</x:v>
      </x:c>
      <x:c r="O130" s="204" t="n">
        <x:v>70</x:v>
      </x:c>
      <x:c r="P130" s="204" t="n">
        <x:v>100</x:v>
      </x:c>
      <x:c r="Q130" s="204" t="n">
        <x:f>SUM(K130:P130)</x:f>
        <x:v>495</x:v>
      </x:c>
      <x:c r="R130" s="204" t="n">
        <x:v>495</x:v>
      </x:c>
      <x:c r="S130" s="204" t="n">
        <x:f>Q130-R130</x:f>
        <x:v>0</x:v>
      </x:c>
      <x:c r="T130" s="203" t="str">
        <x:v>Leans on Sp. Atk / Speed; gives up HP / Defense to preserve the handoff profile M | M-H | M | H | M | H.</x:v>
      </x:c>
      <x:c r="U130" s="203" t="str">
        <x:v>Standard</x:v>
      </x:c>
      <x:c r="V130" s="203" t="str">
        <x:v>Standard</x:v>
      </x:c>
      <x:c r="W130" s="203" t="str">
        <x:v>Standard</x:v>
      </x:c>
      <x:c r="X130" s="205" t="str">
        <x:v>187-Monster Ability &amp; BST Design Handoff</x:v>
      </x:c>
    </x:row>
    <x:row r="131">
      <x:c r="A131" s="202" t="n">
        <x:v>129</x:v>
      </x:c>
      <x:c r="B131" s="203" t="str">
        <x:v>Paxibis</x:v>
      </x:c>
      <x:c r="C131" s="203" t="str">
        <x:v>Flying</x:v>
      </x:c>
      <x:c r="D131" s="203" t="str">
        <x:v>Fairy</x:v>
      </x:c>
      <x:c r="E131" s="203" t="str">
        <x:v>Truce Single-stage</x:v>
      </x:c>
      <x:c r="F131" s="203" t="str">
        <x:v>Single-stage</x:v>
      </x:c>
      <x:c r="G131" s="203" t="str">
        <x:v>M | L | M-L | M | H | H</x:v>
      </x:c>
      <x:c r="H131" s="203" t="str">
        <x:v>Truce</x:v>
      </x:c>
      <x:c r="I131" s="203" t="str">
        <x:v>Rallying Cry</x:v>
      </x:c>
      <x:c r="J131" s="203" t="str">
        <x:v>Protector</x:v>
      </x:c>
      <x:c r="K131" s="204" t="n">
        <x:v>75</x:v>
      </x:c>
      <x:c r="L131" s="204" t="n">
        <x:v>50</x:v>
      </x:c>
      <x:c r="M131" s="204" t="n">
        <x:v>60</x:v>
      </x:c>
      <x:c r="N131" s="204" t="n">
        <x:v>75</x:v>
      </x:c>
      <x:c r="O131" s="204" t="n">
        <x:v>105</x:v>
      </x:c>
      <x:c r="P131" s="204" t="n">
        <x:v>105</x:v>
      </x:c>
      <x:c r="Q131" s="204" t="n">
        <x:f>SUM(K131:P131)</x:f>
        <x:v>470</x:v>
      </x:c>
      <x:c r="R131" s="204" t="n">
        <x:v>470</x:v>
      </x:c>
      <x:c r="S131" s="204" t="n">
        <x:f>Q131-R131</x:f>
        <x:v>0</x:v>
      </x:c>
      <x:c r="T131" s="203" t="str">
        <x:v>Leans on Sp. Def / Speed; gives up Attack to preserve the handoff profile M | L | M-L | M | H | H.</x:v>
      </x:c>
      <x:c r="U131" s="203" t="str">
        <x:v>Standard</x:v>
      </x:c>
      <x:c r="V131" s="203" t="str">
        <x:v>Standard</x:v>
      </x:c>
      <x:c r="W131" s="203" t="str">
        <x:v>Standard</x:v>
      </x:c>
      <x:c r="X131" s="205" t="str">
        <x:v>187-Monster Ability &amp; BST Design Handoff</x:v>
      </x:c>
    </x:row>
    <x:row r="132">
      <x:c r="A132" s="202" t="n">
        <x:v>130</x:v>
      </x:c>
      <x:c r="B132" s="203" t="str">
        <x:v>Veiltern</x:v>
      </x:c>
      <x:c r="C132" s="203" t="str">
        <x:v>Flying</x:v>
      </x:c>
      <x:c r="D132" s="203" t="str"/>
      <x:c r="E132" s="203" t="str">
        <x:v>Weather Stage 1</x:v>
      </x:c>
      <x:c r="F132" s="203" t="str">
        <x:v>Base / Early</x:v>
      </x:c>
      <x:c r="G132" s="203" t="str">
        <x:v>L-M | M | L | M | M | H</x:v>
      </x:c>
      <x:c r="H132" s="203" t="str">
        <x:v>Keen Sense</x:v>
      </x:c>
      <x:c r="I132" s="203" t="str">
        <x:v>Wayfarer</x:v>
      </x:c>
      <x:c r="J132" s="203" t="str">
        <x:v>Stormsense</x:v>
      </x:c>
      <x:c r="K132" s="204" t="n">
        <x:v>40</x:v>
      </x:c>
      <x:c r="L132" s="204" t="n">
        <x:v>50</x:v>
      </x:c>
      <x:c r="M132" s="204" t="n">
        <x:v>35</x:v>
      </x:c>
      <x:c r="N132" s="204" t="n">
        <x:v>50</x:v>
      </x:c>
      <x:c r="O132" s="204" t="n">
        <x:v>50</x:v>
      </x:c>
      <x:c r="P132" s="204" t="n">
        <x:v>70</x:v>
      </x:c>
      <x:c r="Q132" s="204" t="n">
        <x:f>SUM(K132:P132)</x:f>
        <x:v>295</x:v>
      </x:c>
      <x:c r="R132" s="204" t="n">
        <x:v>295</x:v>
      </x:c>
      <x:c r="S132" s="204" t="n">
        <x:f>Q132-R132</x:f>
        <x:v>0</x:v>
      </x:c>
      <x:c r="T132" s="203" t="str">
        <x:v>Leans on Speed; gives up HP / Defense to preserve the handoff profile L-M | M | L | M | M | H.</x:v>
      </x:c>
      <x:c r="U132" s="203" t="str">
        <x:v>Standard</x:v>
      </x:c>
      <x:c r="V132" s="203" t="str">
        <x:v>Standard</x:v>
      </x:c>
      <x:c r="W132" s="203" t="str">
        <x:v>Standard</x:v>
      </x:c>
      <x:c r="X132" s="205" t="str">
        <x:v>187-Monster Ability &amp; BST Design Handoff</x:v>
      </x:c>
    </x:row>
    <x:row r="133">
      <x:c r="A133" s="202" t="n">
        <x:v>131</x:v>
      </x:c>
      <x:c r="B133" s="203" t="str">
        <x:v>Galebrass</x:v>
      </x:c>
      <x:c r="C133" s="203" t="str">
        <x:v>Flying</x:v>
      </x:c>
      <x:c r="D133" s="203" t="str">
        <x:v>Steel</x:v>
      </x:c>
      <x:c r="E133" s="203" t="str">
        <x:v>Weather Final</x:v>
      </x:c>
      <x:c r="F133" s="203" t="str">
        <x:v>Standard Final</x:v>
      </x:c>
      <x:c r="G133" s="203" t="str">
        <x:v>H | M-H | M | M | H | H</x:v>
      </x:c>
      <x:c r="H133" s="203" t="str">
        <x:v>Keen Sense</x:v>
      </x:c>
      <x:c r="I133" s="203" t="str">
        <x:v>Trailblazer</x:v>
      </x:c>
      <x:c r="J133" s="203" t="str">
        <x:v>Stormsense</x:v>
      </x:c>
      <x:c r="K133" s="204" t="n">
        <x:v>95</x:v>
      </x:c>
      <x:c r="L133" s="204" t="n">
        <x:v>80</x:v>
      </x:c>
      <x:c r="M133" s="204" t="n">
        <x:v>70</x:v>
      </x:c>
      <x:c r="N133" s="204" t="n">
        <x:v>70</x:v>
      </x:c>
      <x:c r="O133" s="204" t="n">
        <x:v>90</x:v>
      </x:c>
      <x:c r="P133" s="204" t="n">
        <x:v>95</x:v>
      </x:c>
      <x:c r="Q133" s="204" t="n">
        <x:f>SUM(K133:P133)</x:f>
        <x:v>500</x:v>
      </x:c>
      <x:c r="R133" s="204" t="n">
        <x:v>500</x:v>
      </x:c>
      <x:c r="S133" s="204" t="n">
        <x:f>Q133-R133</x:f>
        <x:v>0</x:v>
      </x:c>
      <x:c r="T133" s="203" t="str">
        <x:v>Leans on HP / Speed; gives up Defense / Sp. Atk to preserve the handoff profile H | M-H | M | M | H | H.</x:v>
      </x:c>
      <x:c r="U133" s="203" t="str">
        <x:v>Standard</x:v>
      </x:c>
      <x:c r="V133" s="203" t="str">
        <x:v>Standard</x:v>
      </x:c>
      <x:c r="W133" s="203" t="str">
        <x:v>Standard</x:v>
      </x:c>
      <x:c r="X133" s="205" t="str">
        <x:v>187-Monster Ability &amp; BST Design Handoff</x:v>
      </x:c>
    </x:row>
    <x:row r="134">
      <x:c r="A134" s="202" t="n">
        <x:v>132</x:v>
      </x:c>
      <x:c r="B134" s="203" t="str">
        <x:v>Trucepoe</x:v>
      </x:c>
      <x:c r="C134" s="203" t="str">
        <x:v>Flying</x:v>
      </x:c>
      <x:c r="D134" s="203" t="str">
        <x:v>Psychic</x:v>
      </x:c>
      <x:c r="E134" s="203" t="str">
        <x:v>Truce Single-stage</x:v>
      </x:c>
      <x:c r="F134" s="203" t="str">
        <x:v>Single-stage</x:v>
      </x:c>
      <x:c r="G134" s="203" t="str">
        <x:v>M | L-M | M | H | H | H</x:v>
      </x:c>
      <x:c r="H134" s="203" t="str">
        <x:v>Truce</x:v>
      </x:c>
      <x:c r="I134" s="203" t="str">
        <x:v>Foresight</x:v>
      </x:c>
      <x:c r="J134" s="203" t="str">
        <x:v>Patience</x:v>
      </x:c>
      <x:c r="K134" s="204" t="n">
        <x:v>70</x:v>
      </x:c>
      <x:c r="L134" s="204" t="n">
        <x:v>60</x:v>
      </x:c>
      <x:c r="M134" s="204" t="n">
        <x:v>70</x:v>
      </x:c>
      <x:c r="N134" s="204" t="n">
        <x:v>100</x:v>
      </x:c>
      <x:c r="O134" s="204" t="n">
        <x:v>100</x:v>
      </x:c>
      <x:c r="P134" s="204" t="n">
        <x:v>100</x:v>
      </x:c>
      <x:c r="Q134" s="204" t="n">
        <x:f>SUM(K134:P134)</x:f>
        <x:v>500</x:v>
      </x:c>
      <x:c r="R134" s="204" t="n">
        <x:v>500</x:v>
      </x:c>
      <x:c r="S134" s="204" t="n">
        <x:f>Q134-R134</x:f>
        <x:v>0</x:v>
      </x:c>
      <x:c r="T134" s="203" t="str">
        <x:v>Leans on Sp. Atk / Sp. Def; gives up Attack to preserve the handoff profile M | L-M | M | H | H | H.</x:v>
      </x:c>
      <x:c r="U134" s="203" t="str">
        <x:v>Standard</x:v>
      </x:c>
      <x:c r="V134" s="203" t="str">
        <x:v>Standard</x:v>
      </x:c>
      <x:c r="W134" s="203" t="str">
        <x:v>Standard</x:v>
      </x:c>
      <x:c r="X134" s="205" t="str">
        <x:v>187-Monster Ability &amp; BST Design Handoff</x:v>
      </x:c>
    </x:row>
    <x:row r="135">
      <x:c r="A135" s="202" t="n">
        <x:v>133</x:v>
      </x:c>
      <x:c r="B135" s="203" t="str">
        <x:v>Wadopot</x:v>
      </x:c>
      <x:c r="C135" s="203" t="str">
        <x:v>Water</x:v>
      </x:c>
      <x:c r="D135" s="203" t="str"/>
      <x:c r="E135" s="203" t="str">
        <x:v>Bound Stage 1</x:v>
      </x:c>
      <x:c r="F135" s="203" t="str">
        <x:v>Base / Early</x:v>
      </x:c>
      <x:c r="G135" s="203" t="str">
        <x:v>H | M-H | M-H | L | M | L</x:v>
      </x:c>
      <x:c r="H135" s="203" t="str">
        <x:v>Bindproof</x:v>
      </x:c>
      <x:c r="I135" s="203" t="str">
        <x:v>Firm Stance</x:v>
      </x:c>
      <x:c r="J135" s="203" t="str">
        <x:v>Surefoot</x:v>
      </x:c>
      <x:c r="K135" s="204" t="n">
        <x:v>70</x:v>
      </x:c>
      <x:c r="L135" s="204" t="n">
        <x:v>60</x:v>
      </x:c>
      <x:c r="M135" s="204" t="n">
        <x:v>60</x:v>
      </x:c>
      <x:c r="N135" s="204" t="n">
        <x:v>35</x:v>
      </x:c>
      <x:c r="O135" s="204" t="n">
        <x:v>50</x:v>
      </x:c>
      <x:c r="P135" s="204" t="n">
        <x:v>35</x:v>
      </x:c>
      <x:c r="Q135" s="204" t="n">
        <x:f>SUM(K135:P135)</x:f>
        <x:v>310</x:v>
      </x:c>
      <x:c r="R135" s="204" t="n">
        <x:v>310</x:v>
      </x:c>
      <x:c r="S135" s="204" t="n">
        <x:f>Q135-R135</x:f>
        <x:v>0</x:v>
      </x:c>
      <x:c r="T135" s="203" t="str">
        <x:v>Leans on HP; gives up Sp. Atk / Speed to preserve the handoff profile H | M-H | M-H | L | M | L.</x:v>
      </x:c>
      <x:c r="U135" s="203" t="str">
        <x:v>Standard</x:v>
      </x:c>
      <x:c r="V135" s="203" t="str">
        <x:v>Standard</x:v>
      </x:c>
      <x:c r="W135" s="203" t="str">
        <x:v>Standard</x:v>
      </x:c>
      <x:c r="X135" s="205" t="str">
        <x:v>187-Monster Ability &amp; BST Design Handoff</x:v>
      </x:c>
    </x:row>
    <x:row r="136">
      <x:c r="A136" s="202" t="n">
        <x:v>134</x:v>
      </x:c>
      <x:c r="B136" s="203" t="str">
        <x:v>Fetterpot</x:v>
      </x:c>
      <x:c r="C136" s="203" t="str">
        <x:v>Water</x:v>
      </x:c>
      <x:c r="D136" s="203" t="str">
        <x:v>Steel</x:v>
      </x:c>
      <x:c r="E136" s="203" t="str">
        <x:v>Bound Final</x:v>
      </x:c>
      <x:c r="F136" s="203" t="str">
        <x:v>Standard Final</x:v>
      </x:c>
      <x:c r="G136" s="203" t="str">
        <x:v>VH | H | H | L | H | VL</x:v>
      </x:c>
      <x:c r="H136" s="203" t="str">
        <x:v>Bindproof</x:v>
      </x:c>
      <x:c r="I136" s="203" t="str">
        <x:v>Firm Stance</x:v>
      </x:c>
      <x:c r="J136" s="203" t="str">
        <x:v>Surefoot</x:v>
      </x:c>
      <x:c r="K136" s="204" t="n">
        <x:v>125</x:v>
      </x:c>
      <x:c r="L136" s="204" t="n">
        <x:v>100</x:v>
      </x:c>
      <x:c r="M136" s="204" t="n">
        <x:v>105</x:v>
      </x:c>
      <x:c r="N136" s="204" t="n">
        <x:v>50</x:v>
      </x:c>
      <x:c r="O136" s="204" t="n">
        <x:v>100</x:v>
      </x:c>
      <x:c r="P136" s="204" t="n">
        <x:v>35</x:v>
      </x:c>
      <x:c r="Q136" s="204" t="n">
        <x:f>SUM(K136:P136)</x:f>
        <x:v>515</x:v>
      </x:c>
      <x:c r="R136" s="204" t="n">
        <x:v>515</x:v>
      </x:c>
      <x:c r="S136" s="204" t="n">
        <x:f>Q136-R136</x:f>
        <x:v>0</x:v>
      </x:c>
      <x:c r="T136" s="203" t="str">
        <x:v>Leans on HP; gives up Speed to preserve the handoff profile VH | H | H | L | H | VL.</x:v>
      </x:c>
      <x:c r="U136" s="203" t="str">
        <x:v>Standard</x:v>
      </x:c>
      <x:c r="V136" s="203" t="str">
        <x:v>Standard</x:v>
      </x:c>
      <x:c r="W136" s="203" t="str">
        <x:v>Standard</x:v>
      </x:c>
      <x:c r="X136" s="205" t="str">
        <x:v>187-Monster Ability &amp; BST Design Handoff</x:v>
      </x:c>
    </x:row>
    <x:row r="137">
      <x:c r="A137" s="202" t="n">
        <x:v>135</x:v>
      </x:c>
      <x:c r="B137" s="203" t="str">
        <x:v>Pearlfrond</x:v>
      </x:c>
      <x:c r="C137" s="203" t="str">
        <x:v>Grass</x:v>
      </x:c>
      <x:c r="D137" s="203" t="str"/>
      <x:c r="E137" s="203" t="str">
        <x:v>Core Stage 1</x:v>
      </x:c>
      <x:c r="F137" s="203" t="str">
        <x:v>Base / Early</x:v>
      </x:c>
      <x:c r="G137" s="203" t="str">
        <x:v>M | L | M | M-H | H | L</x:v>
      </x:c>
      <x:c r="H137" s="203" t="str">
        <x:v>Medicinal Sap</x:v>
      </x:c>
      <x:c r="I137" s="203" t="str">
        <x:v>Firm Stance</x:v>
      </x:c>
      <x:c r="J137" s="203" t="str">
        <x:v>Heartwood Core</x:v>
      </x:c>
      <x:c r="K137" s="204" t="n">
        <x:v>50</x:v>
      </x:c>
      <x:c r="L137" s="204" t="n">
        <x:v>35</x:v>
      </x:c>
      <x:c r="M137" s="204" t="n">
        <x:v>50</x:v>
      </x:c>
      <x:c r="N137" s="204" t="n">
        <x:v>60</x:v>
      </x:c>
      <x:c r="O137" s="204" t="n">
        <x:v>70</x:v>
      </x:c>
      <x:c r="P137" s="204" t="n">
        <x:v>35</x:v>
      </x:c>
      <x:c r="Q137" s="204" t="n">
        <x:f>SUM(K137:P137)</x:f>
        <x:v>300</x:v>
      </x:c>
      <x:c r="R137" s="204" t="n">
        <x:v>300</x:v>
      </x:c>
      <x:c r="S137" s="204" t="n">
        <x:f>Q137-R137</x:f>
        <x:v>0</x:v>
      </x:c>
      <x:c r="T137" s="203" t="str">
        <x:v>Leans on Sp. Def; gives up Attack / Speed to preserve the handoff profile M | L | M | M-H | H | L.</x:v>
      </x:c>
      <x:c r="U137" s="203" t="str">
        <x:v>Standard</x:v>
      </x:c>
      <x:c r="V137" s="203" t="str">
        <x:v>Standard</x:v>
      </x:c>
      <x:c r="W137" s="203" t="str">
        <x:v>Rare</x:v>
      </x:c>
      <x:c r="X137" s="205" t="str">
        <x:v>187-Monster Ability &amp; BST Design Handoff</x:v>
      </x:c>
    </x:row>
    <x:row r="138">
      <x:c r="A138" s="202" t="n">
        <x:v>136</x:v>
      </x:c>
      <x:c r="B138" s="203" t="str">
        <x:v>Regnacra</x:v>
      </x:c>
      <x:c r="C138" s="203" t="str">
        <x:v>Grass</x:v>
      </x:c>
      <x:c r="D138" s="203" t="str">
        <x:v>Steel</x:v>
      </x:c>
      <x:c r="E138" s="203" t="str">
        <x:v>Core Final</x:v>
      </x:c>
      <x:c r="F138" s="203" t="str">
        <x:v>Standard Final</x:v>
      </x:c>
      <x:c r="G138" s="203" t="str">
        <x:v>H | M | H | H | VH | VL</x:v>
      </x:c>
      <x:c r="H138" s="203" t="str">
        <x:v>Medicinal Sap</x:v>
      </x:c>
      <x:c r="I138" s="203" t="str">
        <x:v>Firm Stance</x:v>
      </x:c>
      <x:c r="J138" s="203" t="str">
        <x:v>Heartwood Core</x:v>
      </x:c>
      <x:c r="K138" s="204" t="n">
        <x:v>95</x:v>
      </x:c>
      <x:c r="L138" s="204" t="n">
        <x:v>70</x:v>
      </x:c>
      <x:c r="M138" s="204" t="n">
        <x:v>95</x:v>
      </x:c>
      <x:c r="N138" s="204" t="n">
        <x:v>95</x:v>
      </x:c>
      <x:c r="O138" s="204" t="n">
        <x:v>120</x:v>
      </x:c>
      <x:c r="P138" s="204" t="n">
        <x:v>35</x:v>
      </x:c>
      <x:c r="Q138" s="204" t="n">
        <x:f>SUM(K138:P138)</x:f>
        <x:v>510</x:v>
      </x:c>
      <x:c r="R138" s="204" t="n">
        <x:v>510</x:v>
      </x:c>
      <x:c r="S138" s="204" t="n">
        <x:f>Q138-R138</x:f>
        <x:v>0</x:v>
      </x:c>
      <x:c r="T138" s="203" t="str">
        <x:v>Leans on Sp. Def; gives up Speed to preserve the handoff profile H | M | H | H | VH | VL.</x:v>
      </x:c>
      <x:c r="U138" s="203" t="str">
        <x:v>Standard</x:v>
      </x:c>
      <x:c r="V138" s="203" t="str">
        <x:v>Standard</x:v>
      </x:c>
      <x:c r="W138" s="203" t="str">
        <x:v>Rare</x:v>
      </x:c>
      <x:c r="X138" s="205" t="str">
        <x:v>187-Monster Ability &amp; BST Design Handoff</x:v>
      </x:c>
    </x:row>
    <x:row r="139">
      <x:c r="A139" s="202" t="n">
        <x:v>137</x:v>
      </x:c>
      <x:c r="B139" s="203" t="str">
        <x:v>Skatelk</x:v>
      </x:c>
      <x:c r="C139" s="203" t="str">
        <x:v>Ice</x:v>
      </x:c>
      <x:c r="D139" s="203" t="str"/>
      <x:c r="E139" s="203" t="str">
        <x:v>Ice-runner Stage 1</x:v>
      </x:c>
      <x:c r="F139" s="203" t="str">
        <x:v>Base / Early</x:v>
      </x:c>
      <x:c r="G139" s="203" t="str">
        <x:v>M | M-H | M | L | M | M-H</x:v>
      </x:c>
      <x:c r="H139" s="203" t="str">
        <x:v>Snowfoot</x:v>
      </x:c>
      <x:c r="I139" s="203" t="str">
        <x:v>Surefoot</x:v>
      </x:c>
      <x:c r="J139" s="203" t="str">
        <x:v>Hard Head</x:v>
      </x:c>
      <x:c r="K139" s="204" t="n">
        <x:v>50</x:v>
      </x:c>
      <x:c r="L139" s="204" t="n">
        <x:v>60</x:v>
      </x:c>
      <x:c r="M139" s="204" t="n">
        <x:v>50</x:v>
      </x:c>
      <x:c r="N139" s="204" t="n">
        <x:v>30</x:v>
      </x:c>
      <x:c r="O139" s="204" t="n">
        <x:v>50</x:v>
      </x:c>
      <x:c r="P139" s="204" t="n">
        <x:v>60</x:v>
      </x:c>
      <x:c r="Q139" s="204" t="n">
        <x:f>SUM(K139:P139)</x:f>
        <x:v>300</x:v>
      </x:c>
      <x:c r="R139" s="204" t="n">
        <x:v>300</x:v>
      </x:c>
      <x:c r="S139" s="204" t="n">
        <x:f>Q139-R139</x:f>
        <x:v>0</x:v>
      </x:c>
      <x:c r="T139" s="203" t="str">
        <x:v>Leans on Attack / Speed; gives up Sp. Atk to preserve the handoff profile M | M-H | M | L | M | M-H.</x:v>
      </x:c>
      <x:c r="U139" s="203" t="str">
        <x:v>Standard</x:v>
      </x:c>
      <x:c r="V139" s="203" t="str">
        <x:v>Standard</x:v>
      </x:c>
      <x:c r="W139" s="203" t="str">
        <x:v>Standard</x:v>
      </x:c>
      <x:c r="X139" s="205" t="str">
        <x:v>187-Monster Ability &amp; BST Design Handoff</x:v>
      </x:c>
    </x:row>
    <x:row r="140">
      <x:c r="A140" s="202" t="n">
        <x:v>138</x:v>
      </x:c>
      <x:c r="B140" s="203" t="str">
        <x:v>Rimehart</x:v>
      </x:c>
      <x:c r="C140" s="203" t="str">
        <x:v>Ice</x:v>
      </x:c>
      <x:c r="D140" s="203" t="str">
        <x:v>Fighting</x:v>
      </x:c>
      <x:c r="E140" s="203" t="str">
        <x:v>Ice-runner Final</x:v>
      </x:c>
      <x:c r="F140" s="203" t="str">
        <x:v>Standard Final</x:v>
      </x:c>
      <x:c r="G140" s="203" t="str">
        <x:v>H | H | M-H | L | M | H</x:v>
      </x:c>
      <x:c r="H140" s="203" t="str">
        <x:v>Snowfoot</x:v>
      </x:c>
      <x:c r="I140" s="203" t="str">
        <x:v>Surefoot</x:v>
      </x:c>
      <x:c r="J140" s="203" t="str">
        <x:v>Hard Head</x:v>
      </x:c>
      <x:c r="K140" s="204" t="n">
        <x:v>100</x:v>
      </x:c>
      <x:c r="L140" s="204" t="n">
        <x:v>100</x:v>
      </x:c>
      <x:c r="M140" s="204" t="n">
        <x:v>85</x:v>
      </x:c>
      <x:c r="N140" s="204" t="n">
        <x:v>45</x:v>
      </x:c>
      <x:c r="O140" s="204" t="n">
        <x:v>75</x:v>
      </x:c>
      <x:c r="P140" s="204" t="n">
        <x:v>100</x:v>
      </x:c>
      <x:c r="Q140" s="204" t="n">
        <x:f>SUM(K140:P140)</x:f>
        <x:v>505</x:v>
      </x:c>
      <x:c r="R140" s="204" t="n">
        <x:v>505</x:v>
      </x:c>
      <x:c r="S140" s="204" t="n">
        <x:f>Q140-R140</x:f>
        <x:v>0</x:v>
      </x:c>
      <x:c r="T140" s="203" t="str">
        <x:v>Leans on HP / Attack; gives up Sp. Atk to preserve the handoff profile H | H | M-H | L | M | H.</x:v>
      </x:c>
      <x:c r="U140" s="203" t="str">
        <x:v>Standard</x:v>
      </x:c>
      <x:c r="V140" s="203" t="str">
        <x:v>Standard</x:v>
      </x:c>
      <x:c r="W140" s="203" t="str">
        <x:v>Standard</x:v>
      </x:c>
      <x:c r="X140" s="205" t="str">
        <x:v>187-Monster Ability &amp; BST Design Handoff</x:v>
      </x:c>
    </x:row>
    <x:row r="141">
      <x:c r="A141" s="202" t="n">
        <x:v>139</x:v>
      </x:c>
      <x:c r="B141" s="203" t="str">
        <x:v>Reedile</x:v>
      </x:c>
      <x:c r="C141" s="203" t="str">
        <x:v>Water</x:v>
      </x:c>
      <x:c r="D141" s="203" t="str"/>
      <x:c r="E141" s="203" t="str">
        <x:v>Delta Stage 1</x:v>
      </x:c>
      <x:c r="F141" s="203" t="str">
        <x:v>Base / Early</x:v>
      </x:c>
      <x:c r="G141" s="203" t="str">
        <x:v>M-H | M | H | L-M | M | L-M</x:v>
      </x:c>
      <x:c r="H141" s="203" t="str">
        <x:v>Stormsense</x:v>
      </x:c>
      <x:c r="I141" s="203" t="str">
        <x:v>Reservoir</x:v>
      </x:c>
      <x:c r="J141" s="203" t="str">
        <x:v>Floodplain</x:v>
      </x:c>
      <x:c r="K141" s="204" t="n">
        <x:v>60</x:v>
      </x:c>
      <x:c r="L141" s="204" t="n">
        <x:v>50</x:v>
      </x:c>
      <x:c r="M141" s="204" t="n">
        <x:v>65</x:v>
      </x:c>
      <x:c r="N141" s="204" t="n">
        <x:v>40</x:v>
      </x:c>
      <x:c r="O141" s="204" t="n">
        <x:v>50</x:v>
      </x:c>
      <x:c r="P141" s="204" t="n">
        <x:v>40</x:v>
      </x:c>
      <x:c r="Q141" s="204" t="n">
        <x:f>SUM(K141:P141)</x:f>
        <x:v>305</x:v>
      </x:c>
      <x:c r="R141" s="204" t="n">
        <x:v>305</x:v>
      </x:c>
      <x:c r="S141" s="204" t="n">
        <x:f>Q141-R141</x:f>
        <x:v>0</x:v>
      </x:c>
      <x:c r="T141" s="203" t="str">
        <x:v>Leans on Defense / HP; gives up Sp. Atk / Speed to preserve the handoff profile M-H | M | H | L-M | M | L-M.</x:v>
      </x:c>
      <x:c r="U141" s="203" t="str">
        <x:v>Standard</x:v>
      </x:c>
      <x:c r="V141" s="203" t="str">
        <x:v>Rare</x:v>
      </x:c>
      <x:c r="W141" s="203" t="str">
        <x:v>Rare</x:v>
      </x:c>
      <x:c r="X141" s="205" t="str">
        <x:v>187-Monster Ability &amp; BST Design Handoff</x:v>
      </x:c>
    </x:row>
    <x:row r="142">
      <x:c r="A142" s="202" t="n">
        <x:v>140</x:v>
      </x:c>
      <x:c r="B142" s="203" t="str">
        <x:v>Deltacroc</x:v>
      </x:c>
      <x:c r="C142" s="203" t="str">
        <x:v>Water</x:v>
      </x:c>
      <x:c r="D142" s="203" t="str">
        <x:v>Grass</x:v>
      </x:c>
      <x:c r="E142" s="203" t="str">
        <x:v>Delta Final</x:v>
      </x:c>
      <x:c r="F142" s="203" t="str">
        <x:v>Standard Final</x:v>
      </x:c>
      <x:c r="G142" s="203" t="str">
        <x:v>H | H | H | M | H | L-M</x:v>
      </x:c>
      <x:c r="H142" s="203" t="str">
        <x:v>Stormsense</x:v>
      </x:c>
      <x:c r="I142" s="203" t="str">
        <x:v>Reservoir</x:v>
      </x:c>
      <x:c r="J142" s="203" t="str">
        <x:v>Floodplain</x:v>
      </x:c>
      <x:c r="K142" s="204" t="n">
        <x:v>95</x:v>
      </x:c>
      <x:c r="L142" s="204" t="n">
        <x:v>95</x:v>
      </x:c>
      <x:c r="M142" s="204" t="n">
        <x:v>95</x:v>
      </x:c>
      <x:c r="N142" s="204" t="n">
        <x:v>70</x:v>
      </x:c>
      <x:c r="O142" s="204" t="n">
        <x:v>95</x:v>
      </x:c>
      <x:c r="P142" s="204" t="n">
        <x:v>55</x:v>
      </x:c>
      <x:c r="Q142" s="204" t="n">
        <x:f>SUM(K142:P142)</x:f>
        <x:v>505</x:v>
      </x:c>
      <x:c r="R142" s="204" t="n">
        <x:v>505</x:v>
      </x:c>
      <x:c r="S142" s="204" t="n">
        <x:f>Q142-R142</x:f>
        <x:v>0</x:v>
      </x:c>
      <x:c r="T142" s="203" t="str">
        <x:v>Leans on HP / Attack; gives up Speed to preserve the handoff profile H | H | H | M | H | L-M.</x:v>
      </x:c>
      <x:c r="U142" s="203" t="str">
        <x:v>Standard</x:v>
      </x:c>
      <x:c r="V142" s="203" t="str">
        <x:v>Rare</x:v>
      </x:c>
      <x:c r="W142" s="203" t="str">
        <x:v>Rare</x:v>
      </x:c>
      <x:c r="X142" s="205" t="str">
        <x:v>187-Monster Ability &amp; BST Design Handoff</x:v>
      </x:c>
    </x:row>
    <x:row r="143">
      <x:c r="A143" s="202" t="n">
        <x:v>141</x:v>
      </x:c>
      <x:c r="B143" s="203" t="str">
        <x:v>Pilgrimp</x:v>
      </x:c>
      <x:c r="C143" s="203" t="str">
        <x:v>Normal</x:v>
      </x:c>
      <x:c r="D143" s="203" t="str"/>
      <x:c r="E143" s="203" t="str">
        <x:v>Pilgrim Split Base</x:v>
      </x:c>
      <x:c r="F143" s="203" t="str">
        <x:v>Base / Early</x:v>
      </x:c>
      <x:c r="G143" s="203" t="str">
        <x:v>M | M | M | M | M | M</x:v>
      </x:c>
      <x:c r="H143" s="203" t="str">
        <x:v>Wayfarer</x:v>
      </x:c>
      <x:c r="I143" s="203" t="str">
        <x:v>Rallying Cry</x:v>
      </x:c>
      <x:c r="J143" s="203" t="str">
        <x:v>Trailblazer</x:v>
      </x:c>
      <x:c r="K143" s="204" t="n">
        <x:v>50</x:v>
      </x:c>
      <x:c r="L143" s="204" t="n">
        <x:v>50</x:v>
      </x:c>
      <x:c r="M143" s="204" t="n">
        <x:v>50</x:v>
      </x:c>
      <x:c r="N143" s="204" t="n">
        <x:v>50</x:v>
      </x:c>
      <x:c r="O143" s="204" t="n">
        <x:v>50</x:v>
      </x:c>
      <x:c r="P143" s="204" t="n">
        <x:v>50</x:v>
      </x:c>
      <x:c r="Q143" s="204" t="n">
        <x:f>SUM(K143:P143)</x:f>
        <x:v>300</x:v>
      </x:c>
      <x:c r="R143" s="204" t="n">
        <x:v>300</x:v>
      </x:c>
      <x:c r="S143" s="204" t="n">
        <x:f>Q143-R143</x:f>
        <x:v>0</x:v>
      </x:c>
      <x:c r="T143" s="203" t="str">
        <x:v>Leans on HP / Attack; gives up HP / Attack to preserve the handoff profile M | M | M | M | M | M.</x:v>
      </x:c>
      <x:c r="U143" s="203" t="str">
        <x:v>Standard</x:v>
      </x:c>
      <x:c r="V143" s="203" t="str">
        <x:v>Standard</x:v>
      </x:c>
      <x:c r="W143" s="203" t="str">
        <x:v>Standard</x:v>
      </x:c>
      <x:c r="X143" s="205" t="str">
        <x:v>187-Monster Ability &amp; BST Design Handoff</x:v>
      </x:c>
    </x:row>
    <x:row r="144">
      <x:c r="A144" s="202" t="n">
        <x:v>142</x:v>
      </x:c>
      <x:c r="B144" s="203" t="str">
        <x:v>Ganderiel</x:v>
      </x:c>
      <x:c r="C144" s="203" t="str">
        <x:v>Normal</x:v>
      </x:c>
      <x:c r="D144" s="203" t="str">
        <x:v>Flying</x:v>
      </x:c>
      <x:c r="E144" s="203" t="str">
        <x:v>Goose Split Final</x:v>
      </x:c>
      <x:c r="F144" s="203" t="str">
        <x:v>Standard Final</x:v>
      </x:c>
      <x:c r="G144" s="203" t="str">
        <x:v>M | M-H | M | M | M-H | H</x:v>
      </x:c>
      <x:c r="H144" s="203" t="str">
        <x:v>Wayfarer</x:v>
      </x:c>
      <x:c r="I144" s="203" t="str">
        <x:v>Rallying Cry</x:v>
      </x:c>
      <x:c r="J144" s="203" t="str">
        <x:v>Protector</x:v>
      </x:c>
      <x:c r="K144" s="204" t="n">
        <x:v>75</x:v>
      </x:c>
      <x:c r="L144" s="204" t="n">
        <x:v>85</x:v>
      </x:c>
      <x:c r="M144" s="204" t="n">
        <x:v>70</x:v>
      </x:c>
      <x:c r="N144" s="204" t="n">
        <x:v>70</x:v>
      </x:c>
      <x:c r="O144" s="204" t="n">
        <x:v>85</x:v>
      </x:c>
      <x:c r="P144" s="204" t="n">
        <x:v>100</x:v>
      </x:c>
      <x:c r="Q144" s="204" t="n">
        <x:f>SUM(K144:P144)</x:f>
        <x:v>485</x:v>
      </x:c>
      <x:c r="R144" s="204" t="n">
        <x:v>485</x:v>
      </x:c>
      <x:c r="S144" s="204" t="n">
        <x:f>Q144-R144</x:f>
        <x:v>0</x:v>
      </x:c>
      <x:c r="T144" s="203" t="str">
        <x:v>Leans on Speed; gives up HP / Defense to preserve the handoff profile M | M-H | M | M | M-H | H.</x:v>
      </x:c>
      <x:c r="U144" s="203" t="str">
        <x:v>Standard</x:v>
      </x:c>
      <x:c r="V144" s="203" t="str">
        <x:v>Standard</x:v>
      </x:c>
      <x:c r="W144" s="203" t="str">
        <x:v>Standard</x:v>
      </x:c>
      <x:c r="X144" s="205" t="str">
        <x:v>187-Monster Ability &amp; BST Design Handoff</x:v>
      </x:c>
    </x:row>
    <x:row r="145">
      <x:c r="A145" s="202" t="n">
        <x:v>143</x:v>
      </x:c>
      <x:c r="B145" s="203" t="str">
        <x:v>Caproclaim</x:v>
      </x:c>
      <x:c r="C145" s="203" t="str">
        <x:v>Normal</x:v>
      </x:c>
      <x:c r="D145" s="203" t="str">
        <x:v>Fairy</x:v>
      </x:c>
      <x:c r="E145" s="203" t="str">
        <x:v>Goat Split Final</x:v>
      </x:c>
      <x:c r="F145" s="203" t="str">
        <x:v>Standard Final</x:v>
      </x:c>
      <x:c r="G145" s="203" t="str">
        <x:v>H | M | M-H | M | H | M</x:v>
      </x:c>
      <x:c r="H145" s="203" t="str">
        <x:v>Wayfarer</x:v>
      </x:c>
      <x:c r="I145" s="203" t="str">
        <x:v>Forager</x:v>
      </x:c>
      <x:c r="J145" s="203" t="str">
        <x:v>Chorus</x:v>
      </x:c>
      <x:c r="K145" s="204" t="n">
        <x:v>95</x:v>
      </x:c>
      <x:c r="L145" s="204" t="n">
        <x:v>70</x:v>
      </x:c>
      <x:c r="M145" s="204" t="n">
        <x:v>85</x:v>
      </x:c>
      <x:c r="N145" s="204" t="n">
        <x:v>70</x:v>
      </x:c>
      <x:c r="O145" s="204" t="n">
        <x:v>95</x:v>
      </x:c>
      <x:c r="P145" s="204" t="n">
        <x:v>70</x:v>
      </x:c>
      <x:c r="Q145" s="204" t="n">
        <x:f>SUM(K145:P145)</x:f>
        <x:v>485</x:v>
      </x:c>
      <x:c r="R145" s="204" t="n">
        <x:v>485</x:v>
      </x:c>
      <x:c r="S145" s="204" t="n">
        <x:f>Q145-R145</x:f>
        <x:v>0</x:v>
      </x:c>
      <x:c r="T145" s="203" t="str">
        <x:v>Leans on HP / Sp. Def; gives up Attack / Sp. Atk to preserve the handoff profile H | M | M-H | M | H | M.</x:v>
      </x:c>
      <x:c r="U145" s="203" t="str">
        <x:v>Standard</x:v>
      </x:c>
      <x:c r="V145" s="203" t="str">
        <x:v>Standard</x:v>
      </x:c>
      <x:c r="W145" s="203" t="str">
        <x:v>Standard</x:v>
      </x:c>
      <x:c r="X145" s="205" t="str">
        <x:v>187-Monster Ability &amp; BST Design Handoff</x:v>
      </x:c>
    </x:row>
    <x:row r="146">
      <x:c r="A146" s="202" t="n">
        <x:v>144</x:v>
      </x:c>
      <x:c r="B146" s="203" t="str">
        <x:v>Dartfin</x:v>
      </x:c>
      <x:c r="C146" s="203" t="str">
        <x:v>Electric</x:v>
      </x:c>
      <x:c r="D146" s="203" t="str"/>
      <x:c r="E146" s="203" t="str">
        <x:v>Voyage Stage 1</x:v>
      </x:c>
      <x:c r="F146" s="203" t="str">
        <x:v>Base / Early</x:v>
      </x:c>
      <x:c r="G146" s="203" t="str">
        <x:v>L | L | L | H | M | H</x:v>
      </x:c>
      <x:c r="H146" s="203" t="str">
        <x:v>Stormsense</x:v>
      </x:c>
      <x:c r="I146" s="203" t="str">
        <x:v>Rainrunner</x:v>
      </x:c>
      <x:c r="J146" s="203" t="str">
        <x:v>Alternator</x:v>
      </x:c>
      <x:c r="K146" s="204" t="n">
        <x:v>30</x:v>
      </x:c>
      <x:c r="L146" s="204" t="n">
        <x:v>35</x:v>
      </x:c>
      <x:c r="M146" s="204" t="n">
        <x:v>35</x:v>
      </x:c>
      <x:c r="N146" s="204" t="n">
        <x:v>70</x:v>
      </x:c>
      <x:c r="O146" s="204" t="n">
        <x:v>50</x:v>
      </x:c>
      <x:c r="P146" s="204" t="n">
        <x:v>70</x:v>
      </x:c>
      <x:c r="Q146" s="204" t="n">
        <x:f>SUM(K146:P146)</x:f>
        <x:v>290</x:v>
      </x:c>
      <x:c r="R146" s="204" t="n">
        <x:v>290</x:v>
      </x:c>
      <x:c r="S146" s="204" t="n">
        <x:f>Q146-R146</x:f>
        <x:v>0</x:v>
      </x:c>
      <x:c r="T146" s="203" t="str">
        <x:v>Leans on Sp. Atk / Speed; gives up HP / Attack to preserve the handoff profile L | L | L | H | M | H.</x:v>
      </x:c>
      <x:c r="U146" s="203" t="str">
        <x:v>Standard</x:v>
      </x:c>
      <x:c r="V146" s="203" t="str">
        <x:v>Standard</x:v>
      </x:c>
      <x:c r="W146" s="203" t="str">
        <x:v>Standard</x:v>
      </x:c>
      <x:c r="X146" s="205" t="str">
        <x:v>187-Monster Ability &amp; BST Design Handoff</x:v>
      </x:c>
    </x:row>
    <x:row r="147">
      <x:c r="A147" s="202" t="n">
        <x:v>145</x:v>
      </x:c>
      <x:c r="B147" s="203" t="str">
        <x:v>Lusivolt</x:v>
      </x:c>
      <x:c r="C147" s="203" t="str">
        <x:v>Electric</x:v>
      </x:c>
      <x:c r="D147" s="203" t="str">
        <x:v>Water</x:v>
      </x:c>
      <x:c r="E147" s="203" t="str">
        <x:v>Voyage Final</x:v>
      </x:c>
      <x:c r="F147" s="203" t="str">
        <x:v>Standard Final</x:v>
      </x:c>
      <x:c r="G147" s="203" t="str">
        <x:v>M | L-M | M-L | H | M | VH</x:v>
      </x:c>
      <x:c r="H147" s="203" t="str">
        <x:v>Stormsense</x:v>
      </x:c>
      <x:c r="I147" s="203" t="str">
        <x:v>Rainrunner</x:v>
      </x:c>
      <x:c r="J147" s="203" t="str">
        <x:v>Alternator</x:v>
      </x:c>
      <x:c r="K147" s="204" t="n">
        <x:v>75</x:v>
      </x:c>
      <x:c r="L147" s="204" t="n">
        <x:v>60</x:v>
      </x:c>
      <x:c r="M147" s="204" t="n">
        <x:v>60</x:v>
      </x:c>
      <x:c r="N147" s="204" t="n">
        <x:v>105</x:v>
      </x:c>
      <x:c r="O147" s="204" t="n">
        <x:v>75</x:v>
      </x:c>
      <x:c r="P147" s="204" t="n">
        <x:v>125</x:v>
      </x:c>
      <x:c r="Q147" s="204" t="n">
        <x:f>SUM(K147:P147)</x:f>
        <x:v>500</x:v>
      </x:c>
      <x:c r="R147" s="204" t="n">
        <x:v>500</x:v>
      </x:c>
      <x:c r="S147" s="204" t="n">
        <x:f>Q147-R147</x:f>
        <x:v>0</x:v>
      </x:c>
      <x:c r="T147" s="203" t="str">
        <x:v>Leans on Speed; gives up Attack / Defense to preserve the handoff profile M | L-M | M-L | H | M | VH.</x:v>
      </x:c>
      <x:c r="U147" s="203" t="str">
        <x:v>Standard</x:v>
      </x:c>
      <x:c r="V147" s="203" t="str">
        <x:v>Standard</x:v>
      </x:c>
      <x:c r="W147" s="203" t="str">
        <x:v>Standard</x:v>
      </x:c>
      <x:c r="X147" s="205" t="str">
        <x:v>187-Monster Ability &amp; BST Design Handoff</x:v>
      </x:c>
    </x:row>
    <x:row r="148">
      <x:c r="A148" s="202" t="n">
        <x:v>146</x:v>
      </x:c>
      <x:c r="B148" s="203" t="str">
        <x:v>Fieflet</x:v>
      </x:c>
      <x:c r="C148" s="203" t="str">
        <x:v>Ground</x:v>
      </x:c>
      <x:c r="D148" s="203" t="str"/>
      <x:c r="E148" s="203" t="str">
        <x:v>Pledged Land Stage 1</x:v>
      </x:c>
      <x:c r="F148" s="203" t="str">
        <x:v>Base / Early</x:v>
      </x:c>
      <x:c r="G148" s="203" t="str">
        <x:v>M-H | M | H | L | M | L</x:v>
      </x:c>
      <x:c r="H148" s="203" t="str">
        <x:v>Safekeep</x:v>
      </x:c>
      <x:c r="I148" s="203" t="str">
        <x:v>Firm Stance</x:v>
      </x:c>
      <x:c r="J148" s="203" t="str">
        <x:v>Wayfarer</x:v>
      </x:c>
      <x:c r="K148" s="204" t="n">
        <x:v>60</x:v>
      </x:c>
      <x:c r="L148" s="204" t="n">
        <x:v>55</x:v>
      </x:c>
      <x:c r="M148" s="204" t="n">
        <x:v>70</x:v>
      </x:c>
      <x:c r="N148" s="204" t="n">
        <x:v>35</x:v>
      </x:c>
      <x:c r="O148" s="204" t="n">
        <x:v>50</x:v>
      </x:c>
      <x:c r="P148" s="204" t="n">
        <x:v>35</x:v>
      </x:c>
      <x:c r="Q148" s="204" t="n">
        <x:f>SUM(K148:P148)</x:f>
        <x:v>305</x:v>
      </x:c>
      <x:c r="R148" s="204" t="n">
        <x:v>305</x:v>
      </x:c>
      <x:c r="S148" s="204" t="n">
        <x:f>Q148-R148</x:f>
        <x:v>0</x:v>
      </x:c>
      <x:c r="T148" s="203" t="str">
        <x:v>Leans on Defense; gives up Sp. Atk / Speed to preserve the handoff profile M-H | M | H | L | M | L.</x:v>
      </x:c>
      <x:c r="U148" s="203" t="str">
        <x:v>Standard</x:v>
      </x:c>
      <x:c r="V148" s="203" t="str">
        <x:v>Standard</x:v>
      </x:c>
      <x:c r="W148" s="203" t="str">
        <x:v>Standard</x:v>
      </x:c>
      <x:c r="X148" s="205" t="str">
        <x:v>187-Monster Ability &amp; BST Design Handoff</x:v>
      </x:c>
    </x:row>
    <x:row r="149">
      <x:c r="A149" s="202" t="n">
        <x:v>147</x:v>
      </x:c>
      <x:c r="B149" s="203" t="str">
        <x:v>Pledrake</x:v>
      </x:c>
      <x:c r="C149" s="203" t="str">
        <x:v>Ground</x:v>
      </x:c>
      <x:c r="D149" s="203" t="str">
        <x:v>Dragon</x:v>
      </x:c>
      <x:c r="E149" s="203" t="str">
        <x:v>Pledged Land Final</x:v>
      </x:c>
      <x:c r="F149" s="203" t="str">
        <x:v>Elite Final</x:v>
      </x:c>
      <x:c r="G149" s="203" t="str">
        <x:v>H | H | H | M | H | M-H</x:v>
      </x:c>
      <x:c r="H149" s="203" t="str">
        <x:v>Safekeep</x:v>
      </x:c>
      <x:c r="I149" s="203" t="str">
        <x:v>Firm Stance</x:v>
      </x:c>
      <x:c r="J149" s="203" t="str">
        <x:v>Wayfarer</x:v>
      </x:c>
      <x:c r="K149" s="204" t="n">
        <x:v>95</x:v>
      </x:c>
      <x:c r="L149" s="204" t="n">
        <x:v>95</x:v>
      </x:c>
      <x:c r="M149" s="204" t="n">
        <x:v>95</x:v>
      </x:c>
      <x:c r="N149" s="204" t="n">
        <x:v>70</x:v>
      </x:c>
      <x:c r="O149" s="204" t="n">
        <x:v>95</x:v>
      </x:c>
      <x:c r="P149" s="204" t="n">
        <x:v>80</x:v>
      </x:c>
      <x:c r="Q149" s="204" t="n">
        <x:f>SUM(K149:P149)</x:f>
        <x:v>530</x:v>
      </x:c>
      <x:c r="R149" s="204" t="n">
        <x:v>530</x:v>
      </x:c>
      <x:c r="S149" s="204" t="n">
        <x:f>Q149-R149</x:f>
        <x:v>0</x:v>
      </x:c>
      <x:c r="T149" s="203" t="str">
        <x:v>Leans on HP / Attack; gives up Sp. Atk to preserve the handoff profile H | H | H | M | H | M-H.</x:v>
      </x:c>
      <x:c r="U149" s="203" t="str">
        <x:v>Standard</x:v>
      </x:c>
      <x:c r="V149" s="203" t="str">
        <x:v>Standard</x:v>
      </x:c>
      <x:c r="W149" s="203" t="str">
        <x:v>Standard</x:v>
      </x:c>
      <x:c r="X149" s="205" t="str">
        <x:v>187-Monster Ability &amp; BST Design Handoff</x:v>
      </x:c>
    </x:row>
    <x:row r="150">
      <x:c r="A150" s="202" t="n">
        <x:v>148</x:v>
      </x:c>
      <x:c r="B150" s="203" t="str">
        <x:v>Decimite</x:v>
      </x:c>
      <x:c r="C150" s="203" t="str">
        <x:v>Bug</x:v>
      </x:c>
      <x:c r="D150" s="203" t="str"/>
      <x:c r="E150" s="203" t="str">
        <x:v>Tithe Stage 1</x:v>
      </x:c>
      <x:c r="F150" s="203" t="str">
        <x:v>Base / Early</x:v>
      </x:c>
      <x:c r="G150" s="203" t="str">
        <x:v>M-L | M | M | L | M | M-H</x:v>
      </x:c>
      <x:c r="H150" s="203" t="str">
        <x:v>Forager</x:v>
      </x:c>
      <x:c r="I150" s="203" t="str">
        <x:v>Safekeep</x:v>
      </x:c>
      <x:c r="J150" s="203" t="str">
        <x:v>Capacitor</x:v>
      </x:c>
      <x:c r="K150" s="204" t="n">
        <x:v>45</x:v>
      </x:c>
      <x:c r="L150" s="204" t="n">
        <x:v>50</x:v>
      </x:c>
      <x:c r="M150" s="204" t="n">
        <x:v>50</x:v>
      </x:c>
      <x:c r="N150" s="204" t="n">
        <x:v>35</x:v>
      </x:c>
      <x:c r="O150" s="204" t="n">
        <x:v>50</x:v>
      </x:c>
      <x:c r="P150" s="204" t="n">
        <x:v>60</x:v>
      </x:c>
      <x:c r="Q150" s="204" t="n">
        <x:f>SUM(K150:P150)</x:f>
        <x:v>290</x:v>
      </x:c>
      <x:c r="R150" s="204" t="n">
        <x:v>290</x:v>
      </x:c>
      <x:c r="S150" s="204" t="n">
        <x:f>Q150-R150</x:f>
        <x:v>0</x:v>
      </x:c>
      <x:c r="T150" s="203" t="str">
        <x:v>Leans on Speed; gives up Sp. Atk to preserve the handoff profile M-L | M | M | L | M | M-H.</x:v>
      </x:c>
      <x:c r="U150" s="203" t="str">
        <x:v>Standard</x:v>
      </x:c>
      <x:c r="V150" s="203" t="str">
        <x:v>Standard</x:v>
      </x:c>
      <x:c r="W150" s="203" t="str">
        <x:v>Rare</x:v>
      </x:c>
      <x:c r="X150" s="205" t="str">
        <x:v>187-Monster Ability &amp; BST Design Handoff</x:v>
      </x:c>
    </x:row>
    <x:row r="151">
      <x:c r="A151" s="202" t="n">
        <x:v>149</x:v>
      </x:c>
      <x:c r="B151" s="203" t="str">
        <x:v>Tithelect</x:v>
      </x:c>
      <x:c r="C151" s="203" t="str">
        <x:v>Bug</x:v>
      </x:c>
      <x:c r="D151" s="203" t="str">
        <x:v>Electric</x:v>
      </x:c>
      <x:c r="E151" s="203" t="str">
        <x:v>Tithe Final</x:v>
      </x:c>
      <x:c r="F151" s="203" t="str">
        <x:v>Standard Final</x:v>
      </x:c>
      <x:c r="G151" s="203" t="str">
        <x:v>H | M | H | H | H | M-L</x:v>
      </x:c>
      <x:c r="H151" s="203" t="str">
        <x:v>Safekeep</x:v>
      </x:c>
      <x:c r="I151" s="203" t="str">
        <x:v>Static Hide</x:v>
      </x:c>
      <x:c r="J151" s="203" t="str">
        <x:v>Tithe Charge</x:v>
      </x:c>
      <x:c r="K151" s="204" t="n">
        <x:v>95</x:v>
      </x:c>
      <x:c r="L151" s="204" t="n">
        <x:v>70</x:v>
      </x:c>
      <x:c r="M151" s="204" t="n">
        <x:v>90</x:v>
      </x:c>
      <x:c r="N151" s="204" t="n">
        <x:v>90</x:v>
      </x:c>
      <x:c r="O151" s="204" t="n">
        <x:v>95</x:v>
      </x:c>
      <x:c r="P151" s="204" t="n">
        <x:v>55</x:v>
      </x:c>
      <x:c r="Q151" s="204" t="n">
        <x:f>SUM(K151:P151)</x:f>
        <x:v>495</x:v>
      </x:c>
      <x:c r="R151" s="204" t="n">
        <x:v>495</x:v>
      </x:c>
      <x:c r="S151" s="204" t="n">
        <x:f>Q151-R151</x:f>
        <x:v>0</x:v>
      </x:c>
      <x:c r="T151" s="203" t="str">
        <x:v>Leans on HP / Sp. Def; gives up Speed to preserve the handoff profile H | M | H | H | H | M-L.</x:v>
      </x:c>
      <x:c r="U151" s="203" t="str">
        <x:v>Standard</x:v>
      </x:c>
      <x:c r="V151" s="203" t="str">
        <x:v>Standard</x:v>
      </x:c>
      <x:c r="W151" s="203" t="str">
        <x:v>Signature</x:v>
      </x:c>
      <x:c r="X151" s="205" t="str">
        <x:v>187-Monster Ability &amp; BST Design Handoff</x:v>
      </x:c>
    </x:row>
    <x:row r="152">
      <x:c r="A152" s="202" t="n">
        <x:v>150</x:v>
      </x:c>
      <x:c r="B152" s="203" t="str">
        <x:v>Lyrlet</x:v>
      </x:c>
      <x:c r="C152" s="203" t="str">
        <x:v>Fairy</x:v>
      </x:c>
      <x:c r="D152" s="203" t="str"/>
      <x:c r="E152" s="203" t="str">
        <x:v>Song-drake Stage 1</x:v>
      </x:c>
      <x:c r="F152" s="203" t="str">
        <x:v>Base / Early</x:v>
      </x:c>
      <x:c r="G152" s="203" t="str">
        <x:v>M-L | L | M-L | H | M-H | H</x:v>
      </x:c>
      <x:c r="H152" s="203" t="str">
        <x:v>Chorus</x:v>
      </x:c>
      <x:c r="I152" s="203" t="str">
        <x:v>Soundproof</x:v>
      </x:c>
      <x:c r="J152" s="203" t="str">
        <x:v>Rallying Cry</x:v>
      </x:c>
      <x:c r="K152" s="204" t="n">
        <x:v>40</x:v>
      </x:c>
      <x:c r="L152" s="204" t="n">
        <x:v>30</x:v>
      </x:c>
      <x:c r="M152" s="204" t="n">
        <x:v>40</x:v>
      </x:c>
      <x:c r="N152" s="204" t="n">
        <x:v>65</x:v>
      </x:c>
      <x:c r="O152" s="204" t="n">
        <x:v>60</x:v>
      </x:c>
      <x:c r="P152" s="204" t="n">
        <x:v>70</x:v>
      </x:c>
      <x:c r="Q152" s="204" t="n">
        <x:f>SUM(K152:P152)</x:f>
        <x:v>305</x:v>
      </x:c>
      <x:c r="R152" s="204" t="n">
        <x:v>305</x:v>
      </x:c>
      <x:c r="S152" s="204" t="n">
        <x:f>Q152-R152</x:f>
        <x:v>0</x:v>
      </x:c>
      <x:c r="T152" s="203" t="str">
        <x:v>Leans on Speed / Sp. Atk; gives up Attack to preserve the handoff profile M-L | L | M-L | H | M-H | H.</x:v>
      </x:c>
      <x:c r="U152" s="203" t="str">
        <x:v>Standard</x:v>
      </x:c>
      <x:c r="V152" s="203" t="str">
        <x:v>Standard</x:v>
      </x:c>
      <x:c r="W152" s="203" t="str">
        <x:v>Standard</x:v>
      </x:c>
      <x:c r="X152" s="205" t="str">
        <x:v>187-Monster Ability &amp; BST Design Handoff</x:v>
      </x:c>
    </x:row>
    <x:row r="153">
      <x:c r="A153" s="202" t="n">
        <x:v>151</x:v>
      </x:c>
      <x:c r="B153" s="203" t="str">
        <x:v>Aquilore</x:v>
      </x:c>
      <x:c r="C153" s="203" t="str">
        <x:v>Fairy</x:v>
      </x:c>
      <x:c r="D153" s="203" t="str">
        <x:v>Dragon</x:v>
      </x:c>
      <x:c r="E153" s="203" t="str">
        <x:v>Song-drake Final</x:v>
      </x:c>
      <x:c r="F153" s="203" t="str">
        <x:v>Elite Final</x:v>
      </x:c>
      <x:c r="G153" s="203" t="str">
        <x:v>M-H | M-L | M | H | H | H</x:v>
      </x:c>
      <x:c r="H153" s="203" t="str">
        <x:v>Chorus</x:v>
      </x:c>
      <x:c r="I153" s="203" t="str">
        <x:v>Soundproof</x:v>
      </x:c>
      <x:c r="J153" s="203" t="str">
        <x:v>Rallying Cry</x:v>
      </x:c>
      <x:c r="K153" s="204" t="n">
        <x:v>85</x:v>
      </x:c>
      <x:c r="L153" s="204" t="n">
        <x:v>60</x:v>
      </x:c>
      <x:c r="M153" s="204" t="n">
        <x:v>75</x:v>
      </x:c>
      <x:c r="N153" s="204" t="n">
        <x:v>105</x:v>
      </x:c>
      <x:c r="O153" s="204" t="n">
        <x:v>105</x:v>
      </x:c>
      <x:c r="P153" s="204" t="n">
        <x:v>105</x:v>
      </x:c>
      <x:c r="Q153" s="204" t="n">
        <x:f>SUM(K153:P153)</x:f>
        <x:v>535</x:v>
      </x:c>
      <x:c r="R153" s="204" t="n">
        <x:v>535</x:v>
      </x:c>
      <x:c r="S153" s="204" t="n">
        <x:f>Q153-R153</x:f>
        <x:v>0</x:v>
      </x:c>
      <x:c r="T153" s="203" t="str">
        <x:v>Leans on Sp. Atk / Sp. Def; gives up Attack to preserve the handoff profile M-H | M-L | M | H | H | H.</x:v>
      </x:c>
      <x:c r="U153" s="203" t="str">
        <x:v>Standard</x:v>
      </x:c>
      <x:c r="V153" s="203" t="str">
        <x:v>Standard</x:v>
      </x:c>
      <x:c r="W153" s="203" t="str">
        <x:v>Standard</x:v>
      </x:c>
      <x:c r="X153" s="205" t="str">
        <x:v>187-Monster Ability &amp; BST Design Handoff</x:v>
      </x:c>
    </x:row>
    <x:row r="154">
      <x:c r="A154" s="202" t="n">
        <x:v>152</x:v>
      </x:c>
      <x:c r="B154" s="203" t="str">
        <x:v>Acremink</x:v>
      </x:c>
      <x:c r="C154" s="203" t="str">
        <x:v>Poison</x:v>
      </x:c>
      <x:c r="D154" s="203" t="str"/>
      <x:c r="E154" s="203" t="str">
        <x:v>Poison Split Base</x:v>
      </x:c>
      <x:c r="F154" s="203" t="str">
        <x:v>Base / Early</x:v>
      </x:c>
      <x:c r="G154" s="203" t="str">
        <x:v>M | M | M | L-M | M-H | H</x:v>
      </x:c>
      <x:c r="H154" s="203" t="str">
        <x:v>Toxinproof</x:v>
      </x:c>
      <x:c r="I154" s="203" t="str">
        <x:v>Renewal</x:v>
      </x:c>
      <x:c r="J154" s="203" t="str">
        <x:v>Foresight</x:v>
      </x:c>
      <x:c r="K154" s="204" t="n">
        <x:v>45</x:v>
      </x:c>
      <x:c r="L154" s="204" t="n">
        <x:v>50</x:v>
      </x:c>
      <x:c r="M154" s="204" t="n">
        <x:v>50</x:v>
      </x:c>
      <x:c r="N154" s="204" t="n">
        <x:v>40</x:v>
      </x:c>
      <x:c r="O154" s="204" t="n">
        <x:v>55</x:v>
      </x:c>
      <x:c r="P154" s="204" t="n">
        <x:v>65</x:v>
      </x:c>
      <x:c r="Q154" s="204" t="n">
        <x:f>SUM(K154:P154)</x:f>
        <x:v>305</x:v>
      </x:c>
      <x:c r="R154" s="204" t="n">
        <x:v>305</x:v>
      </x:c>
      <x:c r="S154" s="204" t="n">
        <x:f>Q154-R154</x:f>
        <x:v>0</x:v>
      </x:c>
      <x:c r="T154" s="203" t="str">
        <x:v>Leans on Speed; gives up HP / Sp. Atk to preserve the handoff profile M | M | M | L-M | M-H | H.</x:v>
      </x:c>
      <x:c r="U154" s="203" t="str">
        <x:v>Standard</x:v>
      </x:c>
      <x:c r="V154" s="203" t="str">
        <x:v>Standard</x:v>
      </x:c>
      <x:c r="W154" s="203" t="str">
        <x:v>Standard</x:v>
      </x:c>
      <x:c r="X154" s="205" t="str">
        <x:v>187-Monster Ability &amp; BST Design Handoff</x:v>
      </x:c>
    </x:row>
    <x:row r="155">
      <x:c r="A155" s="202" t="n">
        <x:v>153</x:v>
      </x:c>
      <x:c r="B155" s="203" t="str">
        <x:v>Longspurr</x:v>
      </x:c>
      <x:c r="C155" s="203" t="str">
        <x:v>Fighting</x:v>
      </x:c>
      <x:c r="D155" s="203" t="str">
        <x:v>Poison</x:v>
      </x:c>
      <x:c r="E155" s="203" t="str">
        <x:v>Endurance Split Final</x:v>
      </x:c>
      <x:c r="F155" s="203" t="str">
        <x:v>Standard Final</x:v>
      </x:c>
      <x:c r="G155" s="203" t="str">
        <x:v>M-H | H | M-H | L | M | H</x:v>
      </x:c>
      <x:c r="H155" s="203" t="str">
        <x:v>Toxinproof</x:v>
      </x:c>
      <x:c r="I155" s="203" t="str">
        <x:v>Battle Nerve</x:v>
      </x:c>
      <x:c r="J155" s="203" t="str">
        <x:v>Revenge Mark</x:v>
      </x:c>
      <x:c r="K155" s="204" t="n">
        <x:v>85</x:v>
      </x:c>
      <x:c r="L155" s="204" t="n">
        <x:v>100</x:v>
      </x:c>
      <x:c r="M155" s="204" t="n">
        <x:v>90</x:v>
      </x:c>
      <x:c r="N155" s="204" t="n">
        <x:v>50</x:v>
      </x:c>
      <x:c r="O155" s="204" t="n">
        <x:v>75</x:v>
      </x:c>
      <x:c r="P155" s="204" t="n">
        <x:v>100</x:v>
      </x:c>
      <x:c r="Q155" s="204" t="n">
        <x:f>SUM(K155:P155)</x:f>
        <x:v>500</x:v>
      </x:c>
      <x:c r="R155" s="204" t="n">
        <x:v>500</x:v>
      </x:c>
      <x:c r="S155" s="204" t="n">
        <x:f>Q155-R155</x:f>
        <x:v>0</x:v>
      </x:c>
      <x:c r="T155" s="203" t="str">
        <x:v>Leans on Attack / Speed; gives up Sp. Atk to preserve the handoff profile M-H | H | M-H | L | M | H.</x:v>
      </x:c>
      <x:c r="U155" s="203" t="str">
        <x:v>Standard</x:v>
      </x:c>
      <x:c r="V155" s="203" t="str">
        <x:v>Standard</x:v>
      </x:c>
      <x:c r="W155" s="203" t="str">
        <x:v>Standard</x:v>
      </x:c>
      <x:c r="X155" s="205" t="str">
        <x:v>187-Monster Ability &amp; BST Design Handoff</x:v>
      </x:c>
    </x:row>
    <x:row r="156">
      <x:c r="A156" s="202" t="n">
        <x:v>154</x:v>
      </x:c>
      <x:c r="B156" s="203" t="str">
        <x:v>Elixirine</x:v>
      </x:c>
      <x:c r="C156" s="203" t="str">
        <x:v>Fairy</x:v>
      </x:c>
      <x:c r="D156" s="203" t="str">
        <x:v>Poison</x:v>
      </x:c>
      <x:c r="E156" s="203" t="str">
        <x:v>Care Split Final</x:v>
      </x:c>
      <x:c r="F156" s="203" t="str">
        <x:v>Standard Final</x:v>
      </x:c>
      <x:c r="G156" s="203" t="str">
        <x:v>M-H | L | M | M-H | H | H</x:v>
      </x:c>
      <x:c r="H156" s="203" t="str">
        <x:v>Toxinproof</x:v>
      </x:c>
      <x:c r="I156" s="203" t="str">
        <x:v>Medicinal Sap</x:v>
      </x:c>
      <x:c r="J156" s="203" t="str">
        <x:v>Renewal</x:v>
      </x:c>
      <x:c r="K156" s="204" t="n">
        <x:v>90</x:v>
      </x:c>
      <x:c r="L156" s="204" t="n">
        <x:v>50</x:v>
      </x:c>
      <x:c r="M156" s="204" t="n">
        <x:v>75</x:v>
      </x:c>
      <x:c r="N156" s="204" t="n">
        <x:v>85</x:v>
      </x:c>
      <x:c r="O156" s="204" t="n">
        <x:v>100</x:v>
      </x:c>
      <x:c r="P156" s="204" t="n">
        <x:v>100</x:v>
      </x:c>
      <x:c r="Q156" s="204" t="n">
        <x:f>SUM(K156:P156)</x:f>
        <x:v>500</x:v>
      </x:c>
      <x:c r="R156" s="204" t="n">
        <x:v>500</x:v>
      </x:c>
      <x:c r="S156" s="204" t="n">
        <x:f>Q156-R156</x:f>
        <x:v>0</x:v>
      </x:c>
      <x:c r="T156" s="203" t="str">
        <x:v>Leans on Sp. Def / Speed; gives up Attack to preserve the handoff profile M-H | L | M | M-H | H | H.</x:v>
      </x:c>
      <x:c r="U156" s="203" t="str">
        <x:v>Standard</x:v>
      </x:c>
      <x:c r="V156" s="203" t="str">
        <x:v>Standard</x:v>
      </x:c>
      <x:c r="W156" s="203" t="str">
        <x:v>Standard</x:v>
      </x:c>
      <x:c r="X156" s="205" t="str">
        <x:v>187-Monster Ability &amp; BST Design Handoff</x:v>
      </x:c>
    </x:row>
    <x:row r="157">
      <x:c r="A157" s="202" t="n">
        <x:v>155</x:v>
      </x:c>
      <x:c r="B157" s="203" t="str">
        <x:v>Lanspup</x:v>
      </x:c>
      <x:c r="C157" s="203" t="str">
        <x:v>Fighting</x:v>
      </x:c>
      <x:c r="D157" s="203" t="str"/>
      <x:c r="E157" s="203" t="str">
        <x:v>Last Advance Stage 1</x:v>
      </x:c>
      <x:c r="F157" s="203" t="str">
        <x:v>Base / Early</x:v>
      </x:c>
      <x:c r="G157" s="203" t="str">
        <x:v>L-M | H | L | L | M-L | H</x:v>
      </x:c>
      <x:c r="H157" s="203" t="str">
        <x:v>First Strike</x:v>
      </x:c>
      <x:c r="I157" s="203" t="str">
        <x:v>Pursuit Instinct</x:v>
      </x:c>
      <x:c r="J157" s="203" t="str">
        <x:v>Last Stand</x:v>
      </x:c>
      <x:c r="K157" s="204" t="n">
        <x:v>45</x:v>
      </x:c>
      <x:c r="L157" s="204" t="n">
        <x:v>70</x:v>
      </x:c>
      <x:c r="M157" s="204" t="n">
        <x:v>35</x:v>
      </x:c>
      <x:c r="N157" s="204" t="n">
        <x:v>35</x:v>
      </x:c>
      <x:c r="O157" s="204" t="n">
        <x:v>45</x:v>
      </x:c>
      <x:c r="P157" s="204" t="n">
        <x:v>70</x:v>
      </x:c>
      <x:c r="Q157" s="204" t="n">
        <x:f>SUM(K157:P157)</x:f>
        <x:v>300</x:v>
      </x:c>
      <x:c r="R157" s="204" t="n">
        <x:v>300</x:v>
      </x:c>
      <x:c r="S157" s="204" t="n">
        <x:f>Q157-R157</x:f>
        <x:v>0</x:v>
      </x:c>
      <x:c r="T157" s="203" t="str">
        <x:v>Leans on Attack / Speed; gives up Defense / Sp. Atk to preserve the handoff profile L-M | H | L | L | M-L | H.</x:v>
      </x:c>
      <x:c r="U157" s="203" t="str">
        <x:v>Standard</x:v>
      </x:c>
      <x:c r="V157" s="203" t="str">
        <x:v>Standard</x:v>
      </x:c>
      <x:c r="W157" s="203" t="str">
        <x:v>Rare</x:v>
      </x:c>
      <x:c r="X157" s="205" t="str">
        <x:v>187-Monster Ability &amp; BST Design Handoff</x:v>
      </x:c>
    </x:row>
    <x:row r="158">
      <x:c r="A158" s="202" t="n">
        <x:v>156</x:v>
      </x:c>
      <x:c r="B158" s="203" t="str">
        <x:v>Dirgehound</x:v>
      </x:c>
      <x:c r="C158" s="203" t="str">
        <x:v>Fighting</x:v>
      </x:c>
      <x:c r="D158" s="203" t="str">
        <x:v>Ghost</x:v>
      </x:c>
      <x:c r="E158" s="203" t="str">
        <x:v>Last Advance Final</x:v>
      </x:c>
      <x:c r="F158" s="203" t="str">
        <x:v>Standard Final</x:v>
      </x:c>
      <x:c r="G158" s="203" t="str">
        <x:v>M | H | M-L | L-M | M | VH</x:v>
      </x:c>
      <x:c r="H158" s="203" t="str">
        <x:v>First Strike</x:v>
      </x:c>
      <x:c r="I158" s="203" t="str">
        <x:v>Pursuit Instinct</x:v>
      </x:c>
      <x:c r="J158" s="203" t="str">
        <x:v>Last Stand</x:v>
      </x:c>
      <x:c r="K158" s="204" t="n">
        <x:v>75</x:v>
      </x:c>
      <x:c r="L158" s="204" t="n">
        <x:v>105</x:v>
      </x:c>
      <x:c r="M158" s="204" t="n">
        <x:v>60</x:v>
      </x:c>
      <x:c r="N158" s="204" t="n">
        <x:v>60</x:v>
      </x:c>
      <x:c r="O158" s="204" t="n">
        <x:v>75</x:v>
      </x:c>
      <x:c r="P158" s="204" t="n">
        <x:v>130</x:v>
      </x:c>
      <x:c r="Q158" s="204" t="n">
        <x:f>SUM(K158:P158)</x:f>
        <x:v>505</x:v>
      </x:c>
      <x:c r="R158" s="204" t="n">
        <x:v>505</x:v>
      </x:c>
      <x:c r="S158" s="204" t="n">
        <x:f>Q158-R158</x:f>
        <x:v>0</x:v>
      </x:c>
      <x:c r="T158" s="203" t="str">
        <x:v>Leans on Speed; gives up Defense / Sp. Atk to preserve the handoff profile M | H | M-L | L-M | M | VH.</x:v>
      </x:c>
      <x:c r="U158" s="203" t="str">
        <x:v>Standard</x:v>
      </x:c>
      <x:c r="V158" s="203" t="str">
        <x:v>Standard</x:v>
      </x:c>
      <x:c r="W158" s="203" t="str">
        <x:v>Rare</x:v>
      </x:c>
      <x:c r="X158" s="205" t="str">
        <x:v>187-Monster Ability &amp; BST Design Handoff</x:v>
      </x:c>
    </x:row>
    <x:row r="159">
      <x:c r="A159" s="202" t="n">
        <x:v>157</x:v>
      </x:c>
      <x:c r="B159" s="203" t="str">
        <x:v>Choughlet</x:v>
      </x:c>
      <x:c r="C159" s="203" t="str">
        <x:v>Rock</x:v>
      </x:c>
      <x:c r="D159" s="203" t="str"/>
      <x:c r="E159" s="203" t="str">
        <x:v>Builder-bird Stage 1</x:v>
      </x:c>
      <x:c r="F159" s="203" t="str">
        <x:v>Base / Early</x:v>
      </x:c>
      <x:c r="G159" s="203" t="str">
        <x:v>M-L | M | M | L-M | M | H</x:v>
      </x:c>
      <x:c r="H159" s="203" t="str">
        <x:v>Safekeep</x:v>
      </x:c>
      <x:c r="I159" s="203" t="str">
        <x:v>Scavenger</x:v>
      </x:c>
      <x:c r="J159" s="203" t="str">
        <x:v>Screenmender</x:v>
      </x:c>
      <x:c r="K159" s="204" t="n">
        <x:v>40</x:v>
      </x:c>
      <x:c r="L159" s="204" t="n">
        <x:v>50</x:v>
      </x:c>
      <x:c r="M159" s="204" t="n">
        <x:v>50</x:v>
      </x:c>
      <x:c r="N159" s="204" t="n">
        <x:v>40</x:v>
      </x:c>
      <x:c r="O159" s="204" t="n">
        <x:v>50</x:v>
      </x:c>
      <x:c r="P159" s="204" t="n">
        <x:v>65</x:v>
      </x:c>
      <x:c r="Q159" s="204" t="n">
        <x:f>SUM(K159:P159)</x:f>
        <x:v>295</x:v>
      </x:c>
      <x:c r="R159" s="204" t="n">
        <x:v>295</x:v>
      </x:c>
      <x:c r="S159" s="204" t="n">
        <x:f>Q159-R159</x:f>
        <x:v>0</x:v>
      </x:c>
      <x:c r="T159" s="203" t="str">
        <x:v>Leans on Speed; gives up HP / Sp. Atk to preserve the handoff profile M-L | M | M | L-M | M | H.</x:v>
      </x:c>
      <x:c r="U159" s="203" t="str">
        <x:v>Standard</x:v>
      </x:c>
      <x:c r="V159" s="203" t="str">
        <x:v>Standard</x:v>
      </x:c>
      <x:c r="W159" s="203" t="str">
        <x:v>Rare</x:v>
      </x:c>
      <x:c r="X159" s="205" t="str">
        <x:v>187-Monster Ability &amp; BST Design Handoff</x:v>
      </x:c>
    </x:row>
    <x:row r="160">
      <x:c r="A160" s="202" t="n">
        <x:v>158</x:v>
      </x:c>
      <x:c r="B160" s="203" t="str">
        <x:v>Ascalough</x:v>
      </x:c>
      <x:c r="C160" s="203" t="str">
        <x:v>Rock</x:v>
      </x:c>
      <x:c r="D160" s="203" t="str">
        <x:v>Steel</x:v>
      </x:c>
      <x:c r="E160" s="203" t="str">
        <x:v>Builder-bird Final</x:v>
      </x:c>
      <x:c r="F160" s="203" t="str">
        <x:v>Standard Final</x:v>
      </x:c>
      <x:c r="G160" s="203" t="str">
        <x:v>M | M-H | H | M | H | H</x:v>
      </x:c>
      <x:c r="H160" s="203" t="str">
        <x:v>Safekeep</x:v>
      </x:c>
      <x:c r="I160" s="203" t="str">
        <x:v>Scavenger</x:v>
      </x:c>
      <x:c r="J160" s="203" t="str">
        <x:v>Screenmender</x:v>
      </x:c>
      <x:c r="K160" s="204" t="n">
        <x:v>70</x:v>
      </x:c>
      <x:c r="L160" s="204" t="n">
        <x:v>80</x:v>
      </x:c>
      <x:c r="M160" s="204" t="n">
        <x:v>95</x:v>
      </x:c>
      <x:c r="N160" s="204" t="n">
        <x:v>70</x:v>
      </x:c>
      <x:c r="O160" s="204" t="n">
        <x:v>90</x:v>
      </x:c>
      <x:c r="P160" s="204" t="n">
        <x:v>90</x:v>
      </x:c>
      <x:c r="Q160" s="204" t="n">
        <x:f>SUM(K160:P160)</x:f>
        <x:v>495</x:v>
      </x:c>
      <x:c r="R160" s="204" t="n">
        <x:v>495</x:v>
      </x:c>
      <x:c r="S160" s="204" t="n">
        <x:f>Q160-R160</x:f>
        <x:v>0</x:v>
      </x:c>
      <x:c r="T160" s="203" t="str">
        <x:v>Leans on Defense / Sp. Def; gives up HP / Sp. Atk to preserve the handoff profile M | M-H | H | M | H | H.</x:v>
      </x:c>
      <x:c r="U160" s="203" t="str">
        <x:v>Standard</x:v>
      </x:c>
      <x:c r="V160" s="203" t="str">
        <x:v>Standard</x:v>
      </x:c>
      <x:c r="W160" s="203" t="str">
        <x:v>Rare</x:v>
      </x:c>
      <x:c r="X160" s="205" t="str">
        <x:v>187-Monster Ability &amp; BST Design Handoff</x:v>
      </x:c>
    </x:row>
    <x:row r="161">
      <x:c r="A161" s="202" t="n">
        <x:v>159</x:v>
      </x:c>
      <x:c r="B161" s="203" t="str">
        <x:v>Tempestrel</x:v>
      </x:c>
      <x:c r="C161" s="203" t="str">
        <x:v>Ghost</x:v>
      </x:c>
      <x:c r="D161" s="203" t="str">
        <x:v>Electric</x:v>
      </x:c>
      <x:c r="E161" s="203" t="str">
        <x:v>Storm Omen Single-stage</x:v>
      </x:c>
      <x:c r="F161" s="203" t="str">
        <x:v>Single-stage</x:v>
      </x:c>
      <x:c r="G161" s="203" t="str">
        <x:v>M-L | L | L-M | H | H | VH</x:v>
      </x:c>
      <x:c r="H161" s="203" t="str">
        <x:v>Stormsense</x:v>
      </x:c>
      <x:c r="I161" s="203" t="str">
        <x:v>Soundproof</x:v>
      </x:c>
      <x:c r="J161" s="203" t="str">
        <x:v>Weather Calm</x:v>
      </x:c>
      <x:c r="K161" s="204" t="n">
        <x:v>60</x:v>
      </x:c>
      <x:c r="L161" s="204" t="n">
        <x:v>50</x:v>
      </x:c>
      <x:c r="M161" s="204" t="n">
        <x:v>60</x:v>
      </x:c>
      <x:c r="N161" s="204" t="n">
        <x:v>100</x:v>
      </x:c>
      <x:c r="O161" s="204" t="n">
        <x:v>100</x:v>
      </x:c>
      <x:c r="P161" s="204" t="n">
        <x:v>125</x:v>
      </x:c>
      <x:c r="Q161" s="204" t="n">
        <x:f>SUM(K161:P161)</x:f>
        <x:v>495</x:v>
      </x:c>
      <x:c r="R161" s="204" t="n">
        <x:v>495</x:v>
      </x:c>
      <x:c r="S161" s="204" t="n">
        <x:f>Q161-R161</x:f>
        <x:v>0</x:v>
      </x:c>
      <x:c r="T161" s="203" t="str">
        <x:v>Leans on Speed; gives up Attack to preserve the handoff profile M-L | L | L-M | H | H | VH.</x:v>
      </x:c>
      <x:c r="U161" s="203" t="str">
        <x:v>Standard</x:v>
      </x:c>
      <x:c r="V161" s="203" t="str">
        <x:v>Standard</x:v>
      </x:c>
      <x:c r="W161" s="203" t="str">
        <x:v>Rare</x:v>
      </x:c>
      <x:c r="X161" s="205" t="str">
        <x:v>187-Monster Ability &amp; BST Design Handoff</x:v>
      </x:c>
    </x:row>
    <x:row r="162">
      <x:c r="A162" s="202" t="n">
        <x:v>160</x:v>
      </x:c>
      <x:c r="B162" s="203" t="str">
        <x:v>Vowcolt</x:v>
      </x:c>
      <x:c r="C162" s="203" t="str">
        <x:v>Normal</x:v>
      </x:c>
      <x:c r="D162" s="203" t="str"/>
      <x:c r="E162" s="203" t="str">
        <x:v>Inherited Vow Stage 1</x:v>
      </x:c>
      <x:c r="F162" s="203" t="str">
        <x:v>Base / Early</x:v>
      </x:c>
      <x:c r="G162" s="203" t="str">
        <x:v>M-H | M | M | L | M-H | M-H</x:v>
      </x:c>
      <x:c r="H162" s="203" t="str">
        <x:v>Wayfarer</x:v>
      </x:c>
      <x:c r="I162" s="203" t="str">
        <x:v>Unfazed</x:v>
      </x:c>
      <x:c r="J162" s="203" t="str">
        <x:v>Marked Quarry</x:v>
      </x:c>
      <x:c r="K162" s="204" t="n">
        <x:v>60</x:v>
      </x:c>
      <x:c r="L162" s="204" t="n">
        <x:v>50</x:v>
      </x:c>
      <x:c r="M162" s="204" t="n">
        <x:v>50</x:v>
      </x:c>
      <x:c r="N162" s="204" t="n">
        <x:v>30</x:v>
      </x:c>
      <x:c r="O162" s="204" t="n">
        <x:v>55</x:v>
      </x:c>
      <x:c r="P162" s="204" t="n">
        <x:v>60</x:v>
      </x:c>
      <x:c r="Q162" s="204" t="n">
        <x:f>SUM(K162:P162)</x:f>
        <x:v>305</x:v>
      </x:c>
      <x:c r="R162" s="204" t="n">
        <x:v>305</x:v>
      </x:c>
      <x:c r="S162" s="204" t="n">
        <x:f>Q162-R162</x:f>
        <x:v>0</x:v>
      </x:c>
      <x:c r="T162" s="203" t="str">
        <x:v>Leans on HP / Speed; gives up Sp. Atk to preserve the handoff profile M-H | M | M | L | M-H | M-H.</x:v>
      </x:c>
      <x:c r="U162" s="203" t="str">
        <x:v>Standard</x:v>
      </x:c>
      <x:c r="V162" s="203" t="str">
        <x:v>Standard</x:v>
      </x:c>
      <x:c r="W162" s="203" t="str">
        <x:v>Standard</x:v>
      </x:c>
      <x:c r="X162" s="205" t="str">
        <x:v>187-Monster Ability &amp; BST Design Handoff</x:v>
      </x:c>
    </x:row>
    <x:row r="163">
      <x:c r="A163" s="202" t="n">
        <x:v>161</x:v>
      </x:c>
      <x:c r="B163" s="203" t="str">
        <x:v>Oathcourser</x:v>
      </x:c>
      <x:c r="C163" s="203" t="str">
        <x:v>Normal</x:v>
      </x:c>
      <x:c r="D163" s="203" t="str">
        <x:v>Ghost</x:v>
      </x:c>
      <x:c r="E163" s="203" t="str">
        <x:v>Inherited Vow Final</x:v>
      </x:c>
      <x:c r="F163" s="203" t="str">
        <x:v>Standard Final</x:v>
      </x:c>
      <x:c r="G163" s="203" t="str">
        <x:v>H | H | M-H | L | H | H</x:v>
      </x:c>
      <x:c r="H163" s="203" t="str">
        <x:v>Wayfarer</x:v>
      </x:c>
      <x:c r="I163" s="203" t="str">
        <x:v>Unfazed</x:v>
      </x:c>
      <x:c r="J163" s="203" t="str">
        <x:v>Marked Quarry</x:v>
      </x:c>
      <x:c r="K163" s="204" t="n">
        <x:v>95</x:v>
      </x:c>
      <x:c r="L163" s="204" t="n">
        <x:v>95</x:v>
      </x:c>
      <x:c r="M163" s="204" t="n">
        <x:v>80</x:v>
      </x:c>
      <x:c r="N163" s="204" t="n">
        <x:v>45</x:v>
      </x:c>
      <x:c r="O163" s="204" t="n">
        <x:v>95</x:v>
      </x:c>
      <x:c r="P163" s="204" t="n">
        <x:v>95</x:v>
      </x:c>
      <x:c r="Q163" s="204" t="n">
        <x:f>SUM(K163:P163)</x:f>
        <x:v>505</x:v>
      </x:c>
      <x:c r="R163" s="204" t="n">
        <x:v>505</x:v>
      </x:c>
      <x:c r="S163" s="204" t="n">
        <x:f>Q163-R163</x:f>
        <x:v>0</x:v>
      </x:c>
      <x:c r="T163" s="203" t="str">
        <x:v>Leans on HP / Attack; gives up Sp. Atk to preserve the handoff profile H | H | M-H | L | H | H.</x:v>
      </x:c>
      <x:c r="U163" s="203" t="str">
        <x:v>Standard</x:v>
      </x:c>
      <x:c r="V163" s="203" t="str">
        <x:v>Standard</x:v>
      </x:c>
      <x:c r="W163" s="203" t="str">
        <x:v>Standard</x:v>
      </x:c>
      <x:c r="X163" s="205" t="str">
        <x:v>187-Monster Ability &amp; BST Design Handoff</x:v>
      </x:c>
    </x:row>
    <x:row r="164">
      <x:c r="A164" s="202" t="n">
        <x:v>162</x:v>
      </x:c>
      <x:c r="B164" s="203" t="str">
        <x:v>Chantlet</x:v>
      </x:c>
      <x:c r="C164" s="203" t="str">
        <x:v>Normal</x:v>
      </x:c>
      <x:c r="D164" s="203" t="str"/>
      <x:c r="E164" s="203" t="str">
        <x:v>Settler Bird Stage 1</x:v>
      </x:c>
      <x:c r="F164" s="203" t="str">
        <x:v>Base / Early</x:v>
      </x:c>
      <x:c r="G164" s="203" t="str">
        <x:v>L | L-M | L | M-H | M | H</x:v>
      </x:c>
      <x:c r="H164" s="203" t="str">
        <x:v>Chorus</x:v>
      </x:c>
      <x:c r="I164" s="203" t="str">
        <x:v>Mimic Ear</x:v>
      </x:c>
      <x:c r="J164" s="203" t="str">
        <x:v>Adaptable Hide</x:v>
      </x:c>
      <x:c r="K164" s="204" t="n">
        <x:v>30</x:v>
      </x:c>
      <x:c r="L164" s="204" t="n">
        <x:v>40</x:v>
      </x:c>
      <x:c r="M164" s="204" t="n">
        <x:v>35</x:v>
      </x:c>
      <x:c r="N164" s="204" t="n">
        <x:v>60</x:v>
      </x:c>
      <x:c r="O164" s="204" t="n">
        <x:v>50</x:v>
      </x:c>
      <x:c r="P164" s="204" t="n">
        <x:v>70</x:v>
      </x:c>
      <x:c r="Q164" s="204" t="n">
        <x:f>SUM(K164:P164)</x:f>
        <x:v>285</x:v>
      </x:c>
      <x:c r="R164" s="204" t="n">
        <x:v>285</x:v>
      </x:c>
      <x:c r="S164" s="204" t="n">
        <x:f>Q164-R164</x:f>
        <x:v>0</x:v>
      </x:c>
      <x:c r="T164" s="203" t="str">
        <x:v>Leans on Speed; gives up HP / Defense to preserve the handoff profile L | L-M | L | M-H | M | H.</x:v>
      </x:c>
      <x:c r="U164" s="203" t="str">
        <x:v>Standard</x:v>
      </x:c>
      <x:c r="V164" s="203" t="str">
        <x:v>Rare</x:v>
      </x:c>
      <x:c r="W164" s="203" t="str">
        <x:v>Standard</x:v>
      </x:c>
      <x:c r="X164" s="205" t="str">
        <x:v>187-Monster Ability &amp; BST Design Handoff</x:v>
      </x:c>
    </x:row>
    <x:row r="165">
      <x:c r="A165" s="202" t="n">
        <x:v>163</x:v>
      </x:c>
      <x:c r="B165" s="203" t="str">
        <x:v>Sarumoss</x:v>
      </x:c>
      <x:c r="C165" s="203" t="str">
        <x:v>Normal</x:v>
      </x:c>
      <x:c r="D165" s="203" t="str">
        <x:v>Grass</x:v>
      </x:c>
      <x:c r="E165" s="203" t="str">
        <x:v>Settler Bird Final</x:v>
      </x:c>
      <x:c r="F165" s="203" t="str">
        <x:v>Standard Final</x:v>
      </x:c>
      <x:c r="G165" s="203" t="str">
        <x:v>M | M-L | M | H | H | H</x:v>
      </x:c>
      <x:c r="H165" s="203" t="str">
        <x:v>Chorus</x:v>
      </x:c>
      <x:c r="I165" s="203" t="str">
        <x:v>Renewal</x:v>
      </x:c>
      <x:c r="J165" s="203" t="str">
        <x:v>Medicinal Sap</x:v>
      </x:c>
      <x:c r="K165" s="204" t="n">
        <x:v>70</x:v>
      </x:c>
      <x:c r="L165" s="204" t="n">
        <x:v>55</x:v>
      </x:c>
      <x:c r="M165" s="204" t="n">
        <x:v>70</x:v>
      </x:c>
      <x:c r="N165" s="204" t="n">
        <x:v>95</x:v>
      </x:c>
      <x:c r="O165" s="204" t="n">
        <x:v>95</x:v>
      </x:c>
      <x:c r="P165" s="204" t="n">
        <x:v>95</x:v>
      </x:c>
      <x:c r="Q165" s="204" t="n">
        <x:f>SUM(K165:P165)</x:f>
        <x:v>480</x:v>
      </x:c>
      <x:c r="R165" s="204" t="n">
        <x:v>480</x:v>
      </x:c>
      <x:c r="S165" s="204" t="n">
        <x:f>Q165-R165</x:f>
        <x:v>0</x:v>
      </x:c>
      <x:c r="T165" s="203" t="str">
        <x:v>Leans on Sp. Atk / Sp. Def; gives up Attack to preserve the handoff profile M | M-L | M | H | H | H.</x:v>
      </x:c>
      <x:c r="U165" s="203" t="str">
        <x:v>Standard</x:v>
      </x:c>
      <x:c r="V165" s="203" t="str">
        <x:v>Standard</x:v>
      </x:c>
      <x:c r="W165" s="203" t="str">
        <x:v>Standard</x:v>
      </x:c>
      <x:c r="X165" s="205" t="str">
        <x:v>187-Monster Ability &amp; BST Design Handoff</x:v>
      </x:c>
    </x:row>
    <x:row r="166">
      <x:c r="A166" s="202" t="n">
        <x:v>164</x:v>
      </x:c>
      <x:c r="B166" s="203" t="str">
        <x:v>Caelynx</x:v>
      </x:c>
      <x:c r="C166" s="203" t="str">
        <x:v>Ice</x:v>
      </x:c>
      <x:c r="D166" s="203" t="str">
        <x:v>Fairy</x:v>
      </x:c>
      <x:c r="E166" s="203" t="str">
        <x:v>Legendary Watcher: Heaven</x:v>
      </x:c>
      <x:c r="F166" s="203" t="str">
        <x:v>Legendary Watcher</x:v>
      </x:c>
      <x:c r="G166" s="203" t="str">
        <x:v>H | M-H | H | H | VH | H</x:v>
      </x:c>
      <x:c r="H166" s="203" t="str">
        <x:v>Calm Guard</x:v>
      </x:c>
      <x:c r="I166" s="203" t="str">
        <x:v>Keen Sense</x:v>
      </x:c>
      <x:c r="J166" s="203" t="str">
        <x:v>Clear Judgment</x:v>
      </x:c>
      <x:c r="K166" s="204" t="n">
        <x:v>95</x:v>
      </x:c>
      <x:c r="L166" s="204" t="n">
        <x:v>80</x:v>
      </x:c>
      <x:c r="M166" s="204" t="n">
        <x:v>95</x:v>
      </x:c>
      <x:c r="N166" s="204" t="n">
        <x:v>95</x:v>
      </x:c>
      <x:c r="O166" s="204" t="n">
        <x:v>120</x:v>
      </x:c>
      <x:c r="P166" s="204" t="n">
        <x:v>95</x:v>
      </x:c>
      <x:c r="Q166" s="204" t="n">
        <x:f>SUM(K166:P166)</x:f>
        <x:v>580</x:v>
      </x:c>
      <x:c r="R166" s="204" t="n">
        <x:v>580</x:v>
      </x:c>
      <x:c r="S166" s="204" t="n">
        <x:f>Q166-R166</x:f>
        <x:v>0</x:v>
      </x:c>
      <x:c r="T166" s="203" t="str">
        <x:v>Leans on Sp. Def; gives up Attack to preserve the handoff profile H | M-H | H | H | VH | H.</x:v>
      </x:c>
      <x:c r="U166" s="203" t="str">
        <x:v>Standard</x:v>
      </x:c>
      <x:c r="V166" s="203" t="str">
        <x:v>Standard</x:v>
      </x:c>
      <x:c r="W166" s="203" t="str">
        <x:v>Signature</x:v>
      </x:c>
      <x:c r="X166" s="205" t="str">
        <x:v>187-Monster Ability &amp; BST Design Handoff</x:v>
      </x:c>
    </x:row>
    <x:row r="167">
      <x:c r="A167" s="202" t="n">
        <x:v>165</x:v>
      </x:c>
      <x:c r="B167" s="203" t="str">
        <x:v>Tellurion</x:v>
      </x:c>
      <x:c r="C167" s="203" t="str">
        <x:v>Grass</x:v>
      </x:c>
      <x:c r="D167" s="203" t="str">
        <x:v>Ground</x:v>
      </x:c>
      <x:c r="E167" s="203" t="str">
        <x:v>Legendary Watcher: Earth</x:v>
      </x:c>
      <x:c r="F167" s="203" t="str">
        <x:v>Legendary Watcher</x:v>
      </x:c>
      <x:c r="G167" s="203" t="str">
        <x:v>VH | H | VH | M | H | L</x:v>
      </x:c>
      <x:c r="H167" s="203" t="str">
        <x:v>Firm Stance</x:v>
      </x:c>
      <x:c r="I167" s="203" t="str">
        <x:v>Earthroot</x:v>
      </x:c>
      <x:c r="J167" s="203" t="str">
        <x:v>World Anchor</x:v>
      </x:c>
      <x:c r="K167" s="204" t="n">
        <x:v>125</x:v>
      </x:c>
      <x:c r="L167" s="204" t="n">
        <x:v>105</x:v>
      </x:c>
      <x:c r="M167" s="204" t="n">
        <x:v>125</x:v>
      </x:c>
      <x:c r="N167" s="204" t="n">
        <x:v>75</x:v>
      </x:c>
      <x:c r="O167" s="204" t="n">
        <x:v>100</x:v>
      </x:c>
      <x:c r="P167" s="204" t="n">
        <x:v>50</x:v>
      </x:c>
      <x:c r="Q167" s="204" t="n">
        <x:f>SUM(K167:P167)</x:f>
        <x:v>580</x:v>
      </x:c>
      <x:c r="R167" s="204" t="n">
        <x:v>580</x:v>
      </x:c>
      <x:c r="S167" s="204" t="n">
        <x:f>Q167-R167</x:f>
        <x:v>0</x:v>
      </x:c>
      <x:c r="T167" s="203" t="str">
        <x:v>Leans on HP / Defense; gives up Speed to preserve the handoff profile VH | H | VH | M | H | L.</x:v>
      </x:c>
      <x:c r="U167" s="203" t="str">
        <x:v>Standard</x:v>
      </x:c>
      <x:c r="V167" s="203" t="str">
        <x:v>Standard</x:v>
      </x:c>
      <x:c r="W167" s="203" t="str">
        <x:v>Signature</x:v>
      </x:c>
      <x:c r="X167" s="205" t="str">
        <x:v>187-Monster Ability &amp; BST Design Handoff</x:v>
      </x:c>
    </x:row>
    <x:row r="168">
      <x:c r="A168" s="202" t="n">
        <x:v>166</x:v>
      </x:c>
      <x:c r="B168" s="203" t="str">
        <x:v>Gehennuar</x:v>
      </x:c>
      <x:c r="C168" s="203" t="str">
        <x:v>Fire</x:v>
      </x:c>
      <x:c r="D168" s="203" t="str">
        <x:v>Ghost</x:v>
      </x:c>
      <x:c r="E168" s="203" t="str">
        <x:v>Legendary Watcher: Hell</x:v>
      </x:c>
      <x:c r="F168" s="203" t="str">
        <x:v>Legendary Watcher</x:v>
      </x:c>
      <x:c r="G168" s="203" t="str">
        <x:v>M-H | H | M | VH | H | VH</x:v>
      </x:c>
      <x:c r="H168" s="203" t="str">
        <x:v>Ambush</x:v>
      </x:c>
      <x:c r="I168" s="203" t="str">
        <x:v>Cinderhide</x:v>
      </x:c>
      <x:c r="J168" s="203" t="str">
        <x:v>Sinmark</x:v>
      </x:c>
      <x:c r="K168" s="204" t="n">
        <x:v>80</x:v>
      </x:c>
      <x:c r="L168" s="204" t="n">
        <x:v>95</x:v>
      </x:c>
      <x:c r="M168" s="204" t="n">
        <x:v>70</x:v>
      </x:c>
      <x:c r="N168" s="204" t="n">
        <x:v>120</x:v>
      </x:c>
      <x:c r="O168" s="204" t="n">
        <x:v>95</x:v>
      </x:c>
      <x:c r="P168" s="204" t="n">
        <x:v>120</x:v>
      </x:c>
      <x:c r="Q168" s="204" t="n">
        <x:f>SUM(K168:P168)</x:f>
        <x:v>580</x:v>
      </x:c>
      <x:c r="R168" s="204" t="n">
        <x:v>580</x:v>
      </x:c>
      <x:c r="S168" s="204" t="n">
        <x:f>Q168-R168</x:f>
        <x:v>0</x:v>
      </x:c>
      <x:c r="T168" s="203" t="str">
        <x:v>Leans on Sp. Atk / Speed; gives up Defense to preserve the handoff profile M-H | H | M | VH | H | VH.</x:v>
      </x:c>
      <x:c r="U168" s="203" t="str">
        <x:v>Standard</x:v>
      </x:c>
      <x:c r="V168" s="203" t="str">
        <x:v>Standard</x:v>
      </x:c>
      <x:c r="W168" s="203" t="str">
        <x:v>Signature</x:v>
      </x:c>
      <x:c r="X168" s="205" t="str">
        <x:v>187-Monster Ability &amp; BST Design Handoff</x:v>
      </x:c>
    </x:row>
    <x:row r="169">
      <x:c r="A169" s="202" t="n">
        <x:v>167</x:v>
      </x:c>
      <x:c r="B169" s="203" t="str">
        <x:v>Dustisk</x:v>
      </x:c>
      <x:c r="C169" s="203" t="str">
        <x:v>Ground</x:v>
      </x:c>
      <x:c r="D169" s="203" t="str"/>
      <x:c r="E169" s="203" t="str">
        <x:v>Pseudo Stage 1</x:v>
      </x:c>
      <x:c r="F169" s="203" t="str">
        <x:v>Pseudo Base</x:v>
      </x:c>
      <x:c r="G169" s="203" t="str">
        <x:v>M | M-H | M-H | L | M | M</x:v>
      </x:c>
      <x:c r="H169" s="203" t="str">
        <x:v>Trailblazer</x:v>
      </x:c>
      <x:c r="I169" s="203" t="str">
        <x:v>Sandcoat</x:v>
      </x:c>
      <x:c r="J169" s="203" t="str">
        <x:v>Waystone Master</x:v>
      </x:c>
      <x:c r="K169" s="204" t="n">
        <x:v>50</x:v>
      </x:c>
      <x:c r="L169" s="204" t="n">
        <x:v>60</x:v>
      </x:c>
      <x:c r="M169" s="204" t="n">
        <x:v>60</x:v>
      </x:c>
      <x:c r="N169" s="204" t="n">
        <x:v>30</x:v>
      </x:c>
      <x:c r="O169" s="204" t="n">
        <x:v>50</x:v>
      </x:c>
      <x:c r="P169" s="204" t="n">
        <x:v>50</x:v>
      </x:c>
      <x:c r="Q169" s="204" t="n">
        <x:f>SUM(K169:P169)</x:f>
        <x:v>300</x:v>
      </x:c>
      <x:c r="R169" s="204" t="n">
        <x:v>300</x:v>
      </x:c>
      <x:c r="S169" s="204" t="n">
        <x:f>Q169-R169</x:f>
        <x:v>0</x:v>
      </x:c>
      <x:c r="T169" s="203" t="str">
        <x:v>Leans on Attack / Defense; gives up Sp. Atk to preserve the handoff profile M | M-H | M-H | L | M | M.</x:v>
      </x:c>
      <x:c r="U169" s="203" t="str">
        <x:v>Standard</x:v>
      </x:c>
      <x:c r="V169" s="203" t="str">
        <x:v>Standard</x:v>
      </x:c>
      <x:c r="W169" s="203" t="str">
        <x:v>Signature</x:v>
      </x:c>
      <x:c r="X169" s="205" t="str">
        <x:v>187-Monster Ability &amp; BST Design Handoff</x:v>
      </x:c>
    </x:row>
    <x:row r="170">
      <x:c r="A170" s="202" t="n">
        <x:v>168</x:v>
      </x:c>
      <x:c r="B170" s="203" t="str">
        <x:v>Cairisk</x:v>
      </x:c>
      <x:c r="C170" s="203" t="str">
        <x:v>Ground</x:v>
      </x:c>
      <x:c r="D170" s="203" t="str">
        <x:v>Dragon</x:v>
      </x:c>
      <x:c r="E170" s="203" t="str">
        <x:v>Pseudo Stage 2</x:v>
      </x:c>
      <x:c r="F170" s="203" t="str">
        <x:v>Pseudo Middle</x:v>
      </x:c>
      <x:c r="G170" s="203" t="str">
        <x:v>H | H | H | M-L | M-H | M</x:v>
      </x:c>
      <x:c r="H170" s="203" t="str">
        <x:v>Trailblazer</x:v>
      </x:c>
      <x:c r="I170" s="203" t="str">
        <x:v>Firm Stance</x:v>
      </x:c>
      <x:c r="J170" s="203" t="str">
        <x:v>Waystone Master</x:v>
      </x:c>
      <x:c r="K170" s="204" t="n">
        <x:v>80</x:v>
      </x:c>
      <x:c r="L170" s="204" t="n">
        <x:v>80</x:v>
      </x:c>
      <x:c r="M170" s="204" t="n">
        <x:v>80</x:v>
      </x:c>
      <x:c r="N170" s="204" t="n">
        <x:v>50</x:v>
      </x:c>
      <x:c r="O170" s="204" t="n">
        <x:v>70</x:v>
      </x:c>
      <x:c r="P170" s="204" t="n">
        <x:v>60</x:v>
      </x:c>
      <x:c r="Q170" s="204" t="n">
        <x:f>SUM(K170:P170)</x:f>
        <x:v>420</x:v>
      </x:c>
      <x:c r="R170" s="204" t="n">
        <x:v>420</x:v>
      </x:c>
      <x:c r="S170" s="204" t="n">
        <x:f>Q170-R170</x:f>
        <x:v>0</x:v>
      </x:c>
      <x:c r="T170" s="203" t="str">
        <x:v>Leans on HP / Attack; gives up Sp. Atk to preserve the handoff profile H | H | H | M-L | M-H | M.</x:v>
      </x:c>
      <x:c r="U170" s="203" t="str">
        <x:v>Standard</x:v>
      </x:c>
      <x:c r="V170" s="203" t="str">
        <x:v>Standard</x:v>
      </x:c>
      <x:c r="W170" s="203" t="str">
        <x:v>Signature</x:v>
      </x:c>
      <x:c r="X170" s="205" t="str">
        <x:v>187-Monster Ability &amp; BST Design Handoff</x:v>
      </x:c>
    </x:row>
    <x:row r="171">
      <x:c r="A171" s="202" t="n">
        <x:v>169</x:v>
      </x:c>
      <x:c r="B171" s="203" t="str">
        <x:v>Mausolisk</x:v>
      </x:c>
      <x:c r="C171" s="203" t="str">
        <x:v>Ground</x:v>
      </x:c>
      <x:c r="D171" s="203" t="str">
        <x:v>Dragon</x:v>
      </x:c>
      <x:c r="E171" s="203" t="str">
        <x:v>Pseudo Final</x:v>
      </x:c>
      <x:c r="F171" s="203" t="str">
        <x:v>Pseudo Final</x:v>
      </x:c>
      <x:c r="G171" s="203" t="str">
        <x:v>H | VH | VH | L | H | M</x:v>
      </x:c>
      <x:c r="H171" s="203" t="str">
        <x:v>Firm Stance</x:v>
      </x:c>
      <x:c r="I171" s="203" t="str">
        <x:v>Stoneplate</x:v>
      </x:c>
      <x:c r="J171" s="203" t="str">
        <x:v>Waystone Master</x:v>
      </x:c>
      <x:c r="K171" s="204" t="n">
        <x:v>105</x:v>
      </x:c>
      <x:c r="L171" s="204" t="n">
        <x:v>130</x:v>
      </x:c>
      <x:c r="M171" s="204" t="n">
        <x:v>130</x:v>
      </x:c>
      <x:c r="N171" s="204" t="n">
        <x:v>50</x:v>
      </x:c>
      <x:c r="O171" s="204" t="n">
        <x:v>105</x:v>
      </x:c>
      <x:c r="P171" s="204" t="n">
        <x:v>80</x:v>
      </x:c>
      <x:c r="Q171" s="204" t="n">
        <x:f>SUM(K171:P171)</x:f>
        <x:v>600</x:v>
      </x:c>
      <x:c r="R171" s="204" t="n">
        <x:v>600</x:v>
      </x:c>
      <x:c r="S171" s="204" t="n">
        <x:f>Q171-R171</x:f>
        <x:v>0</x:v>
      </x:c>
      <x:c r="T171" s="203" t="str">
        <x:v>Leans on Attack / Defense; gives up Sp. Atk to preserve the handoff profile H | VH | VH | L | H | M.</x:v>
      </x:c>
      <x:c r="U171" s="203" t="str">
        <x:v>Standard</x:v>
      </x:c>
      <x:c r="V171" s="203" t="str">
        <x:v>Standard</x:v>
      </x:c>
      <x:c r="W171" s="203" t="str">
        <x:v>Signature</x:v>
      </x:c>
      <x:c r="X171" s="205" t="str">
        <x:v>187-Monster Ability &amp; BST Design Handoff</x:v>
      </x:c>
    </x:row>
    <x:row r="172">
      <x:c r="A172" s="202" t="n">
        <x:v>170</x:v>
      </x:c>
      <x:c r="B172" s="203" t="str">
        <x:v>Chipkid</x:v>
      </x:c>
      <x:c r="C172" s="203" t="str">
        <x:v>Ice</x:v>
      </x:c>
      <x:c r="D172" s="203" t="str"/>
      <x:c r="E172" s="203" t="str">
        <x:v>Pseudo Stage 1</x:v>
      </x:c>
      <x:c r="F172" s="203" t="str">
        <x:v>Pseudo Base</x:v>
      </x:c>
      <x:c r="G172" s="203" t="str">
        <x:v>M | M | H | L | M | M-H</x:v>
      </x:c>
      <x:c r="H172" s="203" t="str">
        <x:v>Snowfoot</x:v>
      </x:c>
      <x:c r="I172" s="203" t="str">
        <x:v>Surefoot</x:v>
      </x:c>
      <x:c r="J172" s="203" t="str">
        <x:v>Bulwark</x:v>
      </x:c>
      <x:c r="K172" s="204" t="n">
        <x:v>50</x:v>
      </x:c>
      <x:c r="L172" s="204" t="n">
        <x:v>50</x:v>
      </x:c>
      <x:c r="M172" s="204" t="n">
        <x:v>65</x:v>
      </x:c>
      <x:c r="N172" s="204" t="n">
        <x:v>30</x:v>
      </x:c>
      <x:c r="O172" s="204" t="n">
        <x:v>50</x:v>
      </x:c>
      <x:c r="P172" s="204" t="n">
        <x:v>55</x:v>
      </x:c>
      <x:c r="Q172" s="204" t="n">
        <x:f>SUM(K172:P172)</x:f>
        <x:v>300</x:v>
      </x:c>
      <x:c r="R172" s="204" t="n">
        <x:v>300</x:v>
      </x:c>
      <x:c r="S172" s="204" t="n">
        <x:f>Q172-R172</x:f>
        <x:v>0</x:v>
      </x:c>
      <x:c r="T172" s="203" t="str">
        <x:v>Leans on Defense; gives up Sp. Atk to preserve the handoff profile M | M | H | L | M | M-H.</x:v>
      </x:c>
      <x:c r="U172" s="203" t="str">
        <x:v>Standard</x:v>
      </x:c>
      <x:c r="V172" s="203" t="str">
        <x:v>Standard</x:v>
      </x:c>
      <x:c r="W172" s="203" t="str">
        <x:v>Standard</x:v>
      </x:c>
      <x:c r="X172" s="205" t="str">
        <x:v>187-Monster Ability &amp; BST Design Handoff</x:v>
      </x:c>
    </x:row>
    <x:row r="173">
      <x:c r="A173" s="202" t="n">
        <x:v>171</x:v>
      </x:c>
      <x:c r="B173" s="203" t="str">
        <x:v>Rimebex</x:v>
      </x:c>
      <x:c r="C173" s="203" t="str">
        <x:v>Ice</x:v>
      </x:c>
      <x:c r="D173" s="203" t="str"/>
      <x:c r="E173" s="203" t="str">
        <x:v>Pseudo Stage 2</x:v>
      </x:c>
      <x:c r="F173" s="203" t="str">
        <x:v>Pseudo Middle</x:v>
      </x:c>
      <x:c r="G173" s="203" t="str">
        <x:v>H | H | H | L | M-H | M</x:v>
      </x:c>
      <x:c r="H173" s="203" t="str">
        <x:v>Snowfoot</x:v>
      </x:c>
      <x:c r="I173" s="203" t="str">
        <x:v>Surefoot</x:v>
      </x:c>
      <x:c r="J173" s="203" t="str">
        <x:v>Bulwark</x:v>
      </x:c>
      <x:c r="K173" s="204" t="n">
        <x:v>80</x:v>
      </x:c>
      <x:c r="L173" s="204" t="n">
        <x:v>85</x:v>
      </x:c>
      <x:c r="M173" s="204" t="n">
        <x:v>85</x:v>
      </x:c>
      <x:c r="N173" s="204" t="n">
        <x:v>40</x:v>
      </x:c>
      <x:c r="O173" s="204" t="n">
        <x:v>70</x:v>
      </x:c>
      <x:c r="P173" s="204" t="n">
        <x:v>60</x:v>
      </x:c>
      <x:c r="Q173" s="204" t="n">
        <x:f>SUM(K173:P173)</x:f>
        <x:v>420</x:v>
      </x:c>
      <x:c r="R173" s="204" t="n">
        <x:v>420</x:v>
      </x:c>
      <x:c r="S173" s="204" t="n">
        <x:f>Q173-R173</x:f>
        <x:v>0</x:v>
      </x:c>
      <x:c r="T173" s="203" t="str">
        <x:v>Leans on Attack / Defense; gives up Sp. Atk to preserve the handoff profile H | H | H | L | M-H | M.</x:v>
      </x:c>
      <x:c r="U173" s="203" t="str">
        <x:v>Standard</x:v>
      </x:c>
      <x:c r="V173" s="203" t="str">
        <x:v>Standard</x:v>
      </x:c>
      <x:c r="W173" s="203" t="str">
        <x:v>Standard</x:v>
      </x:c>
      <x:c r="X173" s="205" t="str">
        <x:v>187-Monster Ability &amp; BST Design Handoff</x:v>
      </x:c>
    </x:row>
    <x:row r="174">
      <x:c r="A174" s="202" t="n">
        <x:v>172</x:v>
      </x:c>
      <x:c r="B174" s="203" t="str">
        <x:v>Aegishorn</x:v>
      </x:c>
      <x:c r="C174" s="203" t="str">
        <x:v>Ice</x:v>
      </x:c>
      <x:c r="D174" s="203" t="str">
        <x:v>Steel</x:v>
      </x:c>
      <x:c r="E174" s="203" t="str">
        <x:v>Pseudo Final</x:v>
      </x:c>
      <x:c r="F174" s="203" t="str">
        <x:v>Pseudo Final</x:v>
      </x:c>
      <x:c r="G174" s="203" t="str">
        <x:v>H | VH | VH | L | H | M-L</x:v>
      </x:c>
      <x:c r="H174" s="203" t="str">
        <x:v>Snowfoot</x:v>
      </x:c>
      <x:c r="I174" s="203" t="str">
        <x:v>Hard Head</x:v>
      </x:c>
      <x:c r="J174" s="203" t="str">
        <x:v>Bulwark</x:v>
      </x:c>
      <x:c r="K174" s="204" t="n">
        <x:v>110</x:v>
      </x:c>
      <x:c r="L174" s="204" t="n">
        <x:v>135</x:v>
      </x:c>
      <x:c r="M174" s="204" t="n">
        <x:v>135</x:v>
      </x:c>
      <x:c r="N174" s="204" t="n">
        <x:v>50</x:v>
      </x:c>
      <x:c r="O174" s="204" t="n">
        <x:v>105</x:v>
      </x:c>
      <x:c r="P174" s="204" t="n">
        <x:v>65</x:v>
      </x:c>
      <x:c r="Q174" s="204" t="n">
        <x:f>SUM(K174:P174)</x:f>
        <x:v>600</x:v>
      </x:c>
      <x:c r="R174" s="204" t="n">
        <x:v>600</x:v>
      </x:c>
      <x:c r="S174" s="204" t="n">
        <x:f>Q174-R174</x:f>
        <x:v>0</x:v>
      </x:c>
      <x:c r="T174" s="203" t="str">
        <x:v>Leans on Attack / Defense; gives up Sp. Atk to preserve the handoff profile H | VH | VH | L | H | M-L.</x:v>
      </x:c>
      <x:c r="U174" s="203" t="str">
        <x:v>Standard</x:v>
      </x:c>
      <x:c r="V174" s="203" t="str">
        <x:v>Standard</x:v>
      </x:c>
      <x:c r="W174" s="203" t="str">
        <x:v>Standard</x:v>
      </x:c>
      <x:c r="X174" s="205" t="str">
        <x:v>187-Monster Ability &amp; BST Design Handoff</x:v>
      </x:c>
    </x:row>
    <x:row r="175">
      <x:c r="A175" s="202" t="n">
        <x:v>173</x:v>
      </x:c>
      <x:c r="B175" s="203" t="str">
        <x:v>Tianzhar</x:v>
      </x:c>
      <x:c r="C175" s="203" t="str">
        <x:v>Dragon</x:v>
      </x:c>
      <x:c r="D175" s="203" t="str">
        <x:v>Electric</x:v>
      </x:c>
      <x:c r="E175" s="203" t="str">
        <x:v>Eastern Box Legendary</x:v>
      </x:c>
      <x:c r="F175" s="203" t="str">
        <x:v>Box Legendary</x:v>
      </x:c>
      <x:c r="G175" s="203" t="str">
        <x:v>H | H | H | VH | H | VH</x:v>
      </x:c>
      <x:c r="H175" s="203" t="str">
        <x:v>Stormsense</x:v>
      </x:c>
      <x:c r="I175" s="203" t="str">
        <x:v>Alternator</x:v>
      </x:c>
      <x:c r="J175" s="203" t="str">
        <x:v>Celestial Tempest</x:v>
      </x:c>
      <x:c r="K175" s="204" t="n">
        <x:v>105</x:v>
      </x:c>
      <x:c r="L175" s="204" t="n">
        <x:v>105</x:v>
      </x:c>
      <x:c r="M175" s="204" t="n">
        <x:v>105</x:v>
      </x:c>
      <x:c r="N175" s="204" t="n">
        <x:v>130</x:v>
      </x:c>
      <x:c r="O175" s="204" t="n">
        <x:v>105</x:v>
      </x:c>
      <x:c r="P175" s="204" t="n">
        <x:v>130</x:v>
      </x:c>
      <x:c r="Q175" s="204" t="n">
        <x:f>SUM(K175:P175)</x:f>
        <x:v>680</x:v>
      </x:c>
      <x:c r="R175" s="204" t="n">
        <x:v>680</x:v>
      </x:c>
      <x:c r="S175" s="204" t="n">
        <x:f>Q175-R175</x:f>
        <x:v>0</x:v>
      </x:c>
      <x:c r="T175" s="203" t="str">
        <x:v>Leans on Sp. Atk / Speed; gives up HP / Attack to preserve the handoff profile H | H | H | VH | H | VH.</x:v>
      </x:c>
      <x:c r="U175" s="203" t="str">
        <x:v>Standard</x:v>
      </x:c>
      <x:c r="V175" s="203" t="str">
        <x:v>Standard</x:v>
      </x:c>
      <x:c r="W175" s="203" t="str">
        <x:v>Signature</x:v>
      </x:c>
      <x:c r="X175" s="205" t="str">
        <x:v>187-Monster Ability &amp; BST Design Handoff</x:v>
      </x:c>
    </x:row>
    <x:row r="176">
      <x:c r="A176" s="202" t="n">
        <x:v>174</x:v>
      </x:c>
      <x:c r="B176" s="203" t="str">
        <x:v>Cruxwyrm</x:v>
      </x:c>
      <x:c r="C176" s="203" t="str">
        <x:v>Dragon</x:v>
      </x:c>
      <x:c r="D176" s="203" t="str">
        <x:v>Steel</x:v>
      </x:c>
      <x:c r="E176" s="203" t="str">
        <x:v>Western Box Legendary</x:v>
      </x:c>
      <x:c r="F176" s="203" t="str">
        <x:v>Box Legendary</x:v>
      </x:c>
      <x:c r="G176" s="203" t="str">
        <x:v>H | VH | VH | H | H | M</x:v>
      </x:c>
      <x:c r="H176" s="203" t="str">
        <x:v>Firm Stance</x:v>
      </x:c>
      <x:c r="I176" s="203" t="str">
        <x:v>Stable Core</x:v>
      </x:c>
      <x:c r="J176" s="203" t="str">
        <x:v>Sovereign Decree</x:v>
      </x:c>
      <x:c r="K176" s="204" t="n">
        <x:v>110</x:v>
      </x:c>
      <x:c r="L176" s="204" t="n">
        <x:v>135</x:v>
      </x:c>
      <x:c r="M176" s="204" t="n">
        <x:v>135</x:v>
      </x:c>
      <x:c r="N176" s="204" t="n">
        <x:v>110</x:v>
      </x:c>
      <x:c r="O176" s="204" t="n">
        <x:v>110</x:v>
      </x:c>
      <x:c r="P176" s="204" t="n">
        <x:v>80</x:v>
      </x:c>
      <x:c r="Q176" s="204" t="n">
        <x:f>SUM(K176:P176)</x:f>
        <x:v>680</x:v>
      </x:c>
      <x:c r="R176" s="204" t="n">
        <x:v>680</x:v>
      </x:c>
      <x:c r="S176" s="204" t="n">
        <x:f>Q176-R176</x:f>
        <x:v>0</x:v>
      </x:c>
      <x:c r="T176" s="203" t="str">
        <x:v>Leans on Attack / Defense; gives up Speed to preserve the handoff profile H | VH | VH | H | H | M.</x:v>
      </x:c>
      <x:c r="U176" s="203" t="str">
        <x:v>Standard</x:v>
      </x:c>
      <x:c r="V176" s="203" t="str">
        <x:v>Rare</x:v>
      </x:c>
      <x:c r="W176" s="203" t="str">
        <x:v>Signature</x:v>
      </x:c>
      <x:c r="X176" s="205" t="str">
        <x:v>187-Monster Ability &amp; BST Design Handoff</x:v>
      </x:c>
    </x:row>
    <x:row r="177">
      <x:c r="A177" s="202" t="n">
        <x:v>175</x:v>
      </x:c>
      <x:c r="B177" s="203" t="str">
        <x:v>Feirong</x:v>
      </x:c>
      <x:c r="C177" s="203" t="str">
        <x:v>Grass</x:v>
      </x:c>
      <x:c r="D177" s="203" t="str">
        <x:v>Fighting</x:v>
      </x:c>
      <x:c r="E177" s="203" t="str">
        <x:v>Mythic</x:v>
      </x:c>
      <x:c r="F177" s="203" t="str">
        <x:v>Mythic</x:v>
      </x:c>
      <x:c r="G177" s="203" t="str">
        <x:v>H | H | M-H | M-H | H | H</x:v>
      </x:c>
      <x:c r="H177" s="203" t="str">
        <x:v>Protector</x:v>
      </x:c>
      <x:c r="I177" s="203" t="str">
        <x:v>Chorus</x:v>
      </x:c>
      <x:c r="J177" s="203" t="str">
        <x:v>Oath Roar</x:v>
      </x:c>
      <x:c r="K177" s="204" t="n">
        <x:v>105</x:v>
      </x:c>
      <x:c r="L177" s="204" t="n">
        <x:v>105</x:v>
      </x:c>
      <x:c r="M177" s="204" t="n">
        <x:v>90</x:v>
      </x:c>
      <x:c r="N177" s="204" t="n">
        <x:v>90</x:v>
      </x:c>
      <x:c r="O177" s="204" t="n">
        <x:v>105</x:v>
      </x:c>
      <x:c r="P177" s="204" t="n">
        <x:v>105</x:v>
      </x:c>
      <x:c r="Q177" s="204" t="n">
        <x:f>SUM(K177:P177)</x:f>
        <x:v>600</x:v>
      </x:c>
      <x:c r="R177" s="204" t="n">
        <x:v>600</x:v>
      </x:c>
      <x:c r="S177" s="204" t="n">
        <x:f>Q177-R177</x:f>
        <x:v>0</x:v>
      </x:c>
      <x:c r="T177" s="203" t="str">
        <x:v>Leans on HP / Attack; gives up Defense / Sp. Atk to preserve the handoff profile H | H | M-H | M-H | H | H.</x:v>
      </x:c>
      <x:c r="U177" s="203" t="str">
        <x:v>Standard</x:v>
      </x:c>
      <x:c r="V177" s="203" t="str">
        <x:v>Standard</x:v>
      </x:c>
      <x:c r="W177" s="203" t="str">
        <x:v>Signature</x:v>
      </x:c>
      <x:c r="X177" s="205" t="str">
        <x:v>187-Monster Ability &amp; BST Design Handoff</x:v>
      </x:c>
    </x:row>
    <x:row r="178">
      <x:c r="A178" s="202" t="n">
        <x:v>176</x:v>
      </x:c>
      <x:c r="B178" s="203" t="str">
        <x:v>Paleursa</x:v>
      </x:c>
      <x:c r="C178" s="203" t="str">
        <x:v>Rock</x:v>
      </x:c>
      <x:c r="D178" s="203" t="str">
        <x:v>Ice</x:v>
      </x:c>
      <x:c r="E178" s="203" t="str">
        <x:v>Fossil Single-stage</x:v>
      </x:c>
      <x:c r="F178" s="203" t="str">
        <x:v>Fossil Final/Single</x:v>
      </x:c>
      <x:c r="G178" s="203" t="str">
        <x:v>H | VH | VH | L | M | L</x:v>
      </x:c>
      <x:c r="H178" s="203" t="str">
        <x:v>Thick Pelt</x:v>
      </x:c>
      <x:c r="I178" s="203" t="str">
        <x:v>Hard Head</x:v>
      </x:c>
      <x:c r="J178" s="203" t="str">
        <x:v>Countercharge</x:v>
      </x:c>
      <x:c r="K178" s="204" t="n">
        <x:v>100</x:v>
      </x:c>
      <x:c r="L178" s="204" t="n">
        <x:v>125</x:v>
      </x:c>
      <x:c r="M178" s="204" t="n">
        <x:v>125</x:v>
      </x:c>
      <x:c r="N178" s="204" t="n">
        <x:v>45</x:v>
      </x:c>
      <x:c r="O178" s="204" t="n">
        <x:v>75</x:v>
      </x:c>
      <x:c r="P178" s="204" t="n">
        <x:v>45</x:v>
      </x:c>
      <x:c r="Q178" s="204" t="n">
        <x:f>SUM(K178:P178)</x:f>
        <x:v>515</x:v>
      </x:c>
      <x:c r="R178" s="204" t="n">
        <x:v>515</x:v>
      </x:c>
      <x:c r="S178" s="204" t="n">
        <x:f>Q178-R178</x:f>
        <x:v>0</x:v>
      </x:c>
      <x:c r="T178" s="203" t="str">
        <x:v>Leans on Attack / Defense; gives up Sp. Atk / Speed to preserve the handoff profile H | VH | VH | L | M | L.</x:v>
      </x:c>
      <x:c r="U178" s="203" t="str">
        <x:v>Standard</x:v>
      </x:c>
      <x:c r="V178" s="203" t="str">
        <x:v>Standard</x:v>
      </x:c>
      <x:c r="W178" s="203" t="str">
        <x:v>Standard</x:v>
      </x:c>
      <x:c r="X178" s="205" t="str">
        <x:v>187-Monster Ability &amp; BST Design Handoff</x:v>
      </x:c>
    </x:row>
    <x:row r="179">
      <x:c r="A179" s="202" t="n">
        <x:v>177</x:v>
      </x:c>
      <x:c r="B179" s="203" t="str">
        <x:v>Raptyrale</x:v>
      </x:c>
      <x:c r="C179" s="203" t="str">
        <x:v>Rock</x:v>
      </x:c>
      <x:c r="D179" s="203" t="str">
        <x:v>Dragon</x:v>
      </x:c>
      <x:c r="E179" s="203" t="str">
        <x:v>Fossil Single-stage</x:v>
      </x:c>
      <x:c r="F179" s="203" t="str">
        <x:v>Fossil Final/Single</x:v>
      </x:c>
      <x:c r="G179" s="203" t="str">
        <x:v>M-L | VH | M | L | M | VH</x:v>
      </x:c>
      <x:c r="H179" s="203" t="str">
        <x:v>Focus Edge</x:v>
      </x:c>
      <x:c r="I179" s="203" t="str">
        <x:v>Pursuit Instinct</x:v>
      </x:c>
      <x:c r="J179" s="203" t="str">
        <x:v>Weakpoint Hunter</x:v>
      </x:c>
      <x:c r="K179" s="204" t="n">
        <x:v>65</x:v>
      </x:c>
      <x:c r="L179" s="204" t="n">
        <x:v>125</x:v>
      </x:c>
      <x:c r="M179" s="204" t="n">
        <x:v>75</x:v>
      </x:c>
      <x:c r="N179" s="204" t="n">
        <x:v>50</x:v>
      </x:c>
      <x:c r="O179" s="204" t="n">
        <x:v>75</x:v>
      </x:c>
      <x:c r="P179" s="204" t="n">
        <x:v>125</x:v>
      </x:c>
      <x:c r="Q179" s="204" t="n">
        <x:f>SUM(K179:P179)</x:f>
        <x:v>515</x:v>
      </x:c>
      <x:c r="R179" s="204" t="n">
        <x:v>515</x:v>
      </x:c>
      <x:c r="S179" s="204" t="n">
        <x:f>Q179-R179</x:f>
        <x:v>0</x:v>
      </x:c>
      <x:c r="T179" s="203" t="str">
        <x:v>Leans on Attack / Speed; gives up Sp. Atk to preserve the handoff profile M-L | VH | M | L | M | VH.</x:v>
      </x:c>
      <x:c r="U179" s="203" t="str">
        <x:v>Standard</x:v>
      </x:c>
      <x:c r="V179" s="203" t="str">
        <x:v>Standard</x:v>
      </x:c>
      <x:c r="W179" s="203" t="str">
        <x:v>Standard</x:v>
      </x:c>
      <x:c r="X179" s="205" t="str">
        <x:v>187-Monster Ability &amp; BST Design Handoff</x:v>
      </x:c>
    </x:row>
    <x:row r="180">
      <x:c r="A180" s="202" t="n">
        <x:v>178</x:v>
      </x:c>
      <x:c r="B180" s="203" t="str">
        <x:v>Sidermite</x:v>
      </x:c>
      <x:c r="C180" s="203" t="str">
        <x:v>Rock</x:v>
      </x:c>
      <x:c r="D180" s="203" t="str">
        <x:v>Electric</x:v>
      </x:c>
      <x:c r="E180" s="203" t="str">
        <x:v>Alien Fossil Stage 1</x:v>
      </x:c>
      <x:c r="F180" s="203" t="str">
        <x:v>Fossil Base</x:v>
      </x:c>
      <x:c r="G180" s="203" t="str">
        <x:v>M | L | H | M-H | H | L-M</x:v>
      </x:c>
      <x:c r="H180" s="203" t="str">
        <x:v>Static Hide</x:v>
      </x:c>
      <x:c r="I180" s="203" t="str">
        <x:v>Capacitor</x:v>
      </x:c>
      <x:c r="J180" s="203" t="str">
        <x:v>Hovercore</x:v>
      </x:c>
      <x:c r="K180" s="204" t="n">
        <x:v>50</x:v>
      </x:c>
      <x:c r="L180" s="204" t="n">
        <x:v>35</x:v>
      </x:c>
      <x:c r="M180" s="204" t="n">
        <x:v>70</x:v>
      </x:c>
      <x:c r="N180" s="204" t="n">
        <x:v>60</x:v>
      </x:c>
      <x:c r="O180" s="204" t="n">
        <x:v>70</x:v>
      </x:c>
      <x:c r="P180" s="204" t="n">
        <x:v>45</x:v>
      </x:c>
      <x:c r="Q180" s="204" t="n">
        <x:f>SUM(K180:P180)</x:f>
        <x:v>330</x:v>
      </x:c>
      <x:c r="R180" s="204" t="n">
        <x:v>330</x:v>
      </x:c>
      <x:c r="S180" s="204" t="n">
        <x:f>Q180-R180</x:f>
        <x:v>0</x:v>
      </x:c>
      <x:c r="T180" s="203" t="str">
        <x:v>Leans on Defense / Sp. Def; gives up Attack to preserve the handoff profile M | L | H | M-H | H | L-M.</x:v>
      </x:c>
      <x:c r="U180" s="203" t="str">
        <x:v>Standard</x:v>
      </x:c>
      <x:c r="V180" s="203" t="str">
        <x:v>Rare</x:v>
      </x:c>
      <x:c r="W180" s="203" t="str">
        <x:v>Rare</x:v>
      </x:c>
      <x:c r="X180" s="205" t="str">
        <x:v>187-Monster Ability &amp; BST Design Handoff</x:v>
      </x:c>
    </x:row>
    <x:row r="181">
      <x:c r="A181" s="202" t="n">
        <x:v>179</x:v>
      </x:c>
      <x:c r="B181" s="203" t="str">
        <x:v>Xenolithid</x:v>
      </x:c>
      <x:c r="C181" s="203" t="str">
        <x:v>Rock</x:v>
      </x:c>
      <x:c r="D181" s="203" t="str">
        <x:v>Electric</x:v>
      </x:c>
      <x:c r="E181" s="203" t="str">
        <x:v>Alien Fossil Final</x:v>
      </x:c>
      <x:c r="F181" s="203" t="str">
        <x:v>Fossil Final/Single</x:v>
      </x:c>
      <x:c r="G181" s="203" t="str">
        <x:v>H | L-M | H | VH | H | M-L</x:v>
      </x:c>
      <x:c r="H181" s="203" t="str">
        <x:v>Capacitor</x:v>
      </x:c>
      <x:c r="I181" s="203" t="str">
        <x:v>Keen Sense</x:v>
      </x:c>
      <x:c r="J181" s="203" t="str">
        <x:v>Hovercore</x:v>
      </x:c>
      <x:c r="K181" s="204" t="n">
        <x:v>95</x:v>
      </x:c>
      <x:c r="L181" s="204" t="n">
        <x:v>55</x:v>
      </x:c>
      <x:c r="M181" s="204" t="n">
        <x:v>95</x:v>
      </x:c>
      <x:c r="N181" s="204" t="n">
        <x:v>115</x:v>
      </x:c>
      <x:c r="O181" s="204" t="n">
        <x:v>95</x:v>
      </x:c>
      <x:c r="P181" s="204" t="n">
        <x:v>55</x:v>
      </x:c>
      <x:c r="Q181" s="204" t="n">
        <x:f>SUM(K181:P181)</x:f>
        <x:v>510</x:v>
      </x:c>
      <x:c r="R181" s="204" t="n">
        <x:v>510</x:v>
      </x:c>
      <x:c r="S181" s="204" t="n">
        <x:f>Q181-R181</x:f>
        <x:v>0</x:v>
      </x:c>
      <x:c r="T181" s="203" t="str">
        <x:v>Leans on Sp. Atk; gives up Attack / Speed to preserve the handoff profile H | L-M | H | VH | H | M-L.</x:v>
      </x:c>
      <x:c r="U181" s="203" t="str">
        <x:v>Rare</x:v>
      </x:c>
      <x:c r="V181" s="203" t="str">
        <x:v>Standard</x:v>
      </x:c>
      <x:c r="W181" s="203" t="str">
        <x:v>Rare</x:v>
      </x:c>
      <x:c r="X181" s="205" t="str">
        <x:v>187-Monster Ability &amp; BST Design Handoff</x:v>
      </x:c>
    </x:row>
    <x:row r="182">
      <x:c r="A182" s="202" t="n">
        <x:v>180</x:v>
      </x:c>
      <x:c r="B182" s="203" t="str">
        <x:v>Gravodo</x:v>
      </x:c>
      <x:c r="C182" s="203" t="str">
        <x:v>Rock</x:v>
      </x:c>
      <x:c r="D182" s="203" t="str">
        <x:v>Poison</x:v>
      </x:c>
      <x:c r="E182" s="203" t="str">
        <x:v>Komodo Fossil Stage 1</x:v>
      </x:c>
      <x:c r="F182" s="203" t="str">
        <x:v>Fossil Base</x:v>
      </x:c>
      <x:c r="G182" s="203" t="str">
        <x:v>M-H | M-H | H | L | M | L</x:v>
      </x:c>
      <x:c r="H182" s="203" t="str">
        <x:v>Poison Barbs</x:v>
      </x:c>
      <x:c r="I182" s="203" t="str">
        <x:v>Ambush</x:v>
      </x:c>
      <x:c r="J182" s="203" t="str">
        <x:v>Septic Hunger</x:v>
      </x:c>
      <x:c r="K182" s="204" t="n">
        <x:v>60</x:v>
      </x:c>
      <x:c r="L182" s="204" t="n">
        <x:v>60</x:v>
      </x:c>
      <x:c r="M182" s="204" t="n">
        <x:v>75</x:v>
      </x:c>
      <x:c r="N182" s="204" t="n">
        <x:v>35</x:v>
      </x:c>
      <x:c r="O182" s="204" t="n">
        <x:v>55</x:v>
      </x:c>
      <x:c r="P182" s="204" t="n">
        <x:v>35</x:v>
      </x:c>
      <x:c r="Q182" s="204" t="n">
        <x:f>SUM(K182:P182)</x:f>
        <x:v>320</x:v>
      </x:c>
      <x:c r="R182" s="204" t="n">
        <x:v>320</x:v>
      </x:c>
      <x:c r="S182" s="204" t="n">
        <x:f>Q182-R182</x:f>
        <x:v>0</x:v>
      </x:c>
      <x:c r="T182" s="203" t="str">
        <x:v>Leans on Defense; gives up Sp. Atk / Speed to preserve the handoff profile M-H | M-H | H | L | M | L.</x:v>
      </x:c>
      <x:c r="U182" s="203" t="str">
        <x:v>Standard</x:v>
      </x:c>
      <x:c r="V182" s="203" t="str">
        <x:v>Standard</x:v>
      </x:c>
      <x:c r="W182" s="203" t="str">
        <x:v>Signature</x:v>
      </x:c>
      <x:c r="X182" s="205" t="str">
        <x:v>187-Monster Ability &amp; BST Design Handoff</x:v>
      </x:c>
    </x:row>
    <x:row r="183">
      <x:c r="A183" s="202" t="n">
        <x:v>181</x:v>
      </x:c>
      <x:c r="B183" s="203" t="str">
        <x:v>Cairnodo</x:v>
      </x:c>
      <x:c r="C183" s="203" t="str">
        <x:v>Rock</x:v>
      </x:c>
      <x:c r="D183" s="203" t="str">
        <x:v>Poison</x:v>
      </x:c>
      <x:c r="E183" s="203" t="str">
        <x:v>Komodo Fossil Stage 2</x:v>
      </x:c>
      <x:c r="F183" s="203" t="str">
        <x:v>Fossil Middle</x:v>
      </x:c>
      <x:c r="G183" s="203" t="str">
        <x:v>H | H | H | L | M-H | L</x:v>
      </x:c>
      <x:c r="H183" s="203" t="str">
        <x:v>Poison Barbs</x:v>
      </x:c>
      <x:c r="I183" s="203" t="str">
        <x:v>Patience</x:v>
      </x:c>
      <x:c r="J183" s="203" t="str">
        <x:v>Septic Hunger</x:v>
      </x:c>
      <x:c r="K183" s="204" t="n">
        <x:v>85</x:v>
      </x:c>
      <x:c r="L183" s="204" t="n">
        <x:v>85</x:v>
      </x:c>
      <x:c r="M183" s="204" t="n">
        <x:v>90</x:v>
      </x:c>
      <x:c r="N183" s="204" t="n">
        <x:v>40</x:v>
      </x:c>
      <x:c r="O183" s="204" t="n">
        <x:v>75</x:v>
      </x:c>
      <x:c r="P183" s="204" t="n">
        <x:v>40</x:v>
      </x:c>
      <x:c r="Q183" s="204" t="n">
        <x:f>SUM(K183:P183)</x:f>
        <x:v>415</x:v>
      </x:c>
      <x:c r="R183" s="204" t="n">
        <x:v>415</x:v>
      </x:c>
      <x:c r="S183" s="204" t="n">
        <x:f>Q183-R183</x:f>
        <x:v>0</x:v>
      </x:c>
      <x:c r="T183" s="203" t="str">
        <x:v>Leans on Defense / HP; gives up Sp. Atk / Speed to preserve the handoff profile H | H | H | L | M-H | L.</x:v>
      </x:c>
      <x:c r="U183" s="203" t="str">
        <x:v>Standard</x:v>
      </x:c>
      <x:c r="V183" s="203" t="str">
        <x:v>Standard</x:v>
      </x:c>
      <x:c r="W183" s="203" t="str">
        <x:v>Signature</x:v>
      </x:c>
      <x:c r="X183" s="205" t="str">
        <x:v>187-Monster Ability &amp; BST Design Handoff</x:v>
      </x:c>
    </x:row>
    <x:row r="184">
      <x:c r="A184" s="202" t="n">
        <x:v>182</x:v>
      </x:c>
      <x:c r="B184" s="203" t="str">
        <x:v>Kronodo</x:v>
      </x:c>
      <x:c r="C184" s="203" t="str">
        <x:v>Rock</x:v>
      </x:c>
      <x:c r="D184" s="203" t="str">
        <x:v>Poison</x:v>
      </x:c>
      <x:c r="E184" s="203" t="str">
        <x:v>Komodo Fossil Final</x:v>
      </x:c>
      <x:c r="F184" s="203" t="str">
        <x:v>Fossil Final/Single</x:v>
      </x:c>
      <x:c r="G184" s="203" t="str">
        <x:v>H | VH | VH | L | H | VL</x:v>
      </x:c>
      <x:c r="H184" s="203" t="str">
        <x:v>Poison Barbs</x:v>
      </x:c>
      <x:c r="I184" s="203" t="str">
        <x:v>Ambush</x:v>
      </x:c>
      <x:c r="J184" s="203" t="str">
        <x:v>Septic Hunger</x:v>
      </x:c>
      <x:c r="K184" s="204" t="n">
        <x:v>100</x:v>
      </x:c>
      <x:c r="L184" s="204" t="n">
        <x:v>125</x:v>
      </x:c>
      <x:c r="M184" s="204" t="n">
        <x:v>125</x:v>
      </x:c>
      <x:c r="N184" s="204" t="n">
        <x:v>50</x:v>
      </x:c>
      <x:c r="O184" s="204" t="n">
        <x:v>100</x:v>
      </x:c>
      <x:c r="P184" s="204" t="n">
        <x:v>35</x:v>
      </x:c>
      <x:c r="Q184" s="204" t="n">
        <x:f>SUM(K184:P184)</x:f>
        <x:v>535</x:v>
      </x:c>
      <x:c r="R184" s="204" t="n">
        <x:v>535</x:v>
      </x:c>
      <x:c r="S184" s="204" t="n">
        <x:f>Q184-R184</x:f>
        <x:v>0</x:v>
      </x:c>
      <x:c r="T184" s="203" t="str">
        <x:v>Leans on Attack / Defense; gives up Speed to preserve the handoff profile H | VH | VH | L | H | VL.</x:v>
      </x:c>
      <x:c r="U184" s="203" t="str">
        <x:v>Standard</x:v>
      </x:c>
      <x:c r="V184" s="203" t="str">
        <x:v>Standard</x:v>
      </x:c>
      <x:c r="W184" s="203" t="str">
        <x:v>Signature</x:v>
      </x:c>
      <x:c r="X184" s="205" t="str">
        <x:v>187-Monster Ability &amp; BST Design Handoff</x:v>
      </x:c>
    </x:row>
    <x:row r="185">
      <x:c r="A185" s="202" t="n">
        <x:v>183</x:v>
      </x:c>
      <x:c r="B185" s="203" t="str">
        <x:v>Guanrong</x:v>
      </x:c>
      <x:c r="C185" s="203" t="str">
        <x:v>Grass</x:v>
      </x:c>
      <x:c r="D185" s="203" t="str">
        <x:v>Steel</x:v>
      </x:c>
      <x:c r="E185" s="203" t="str">
        <x:v>Mythic</x:v>
      </x:c>
      <x:c r="F185" s="203" t="str">
        <x:v>Mythic</x:v>
      </x:c>
      <x:c r="G185" s="203" t="str">
        <x:v>H | H | H | M | H | M-H</x:v>
      </x:c>
      <x:c r="H185" s="203" t="str">
        <x:v>Protector</x:v>
      </x:c>
      <x:c r="I185" s="203" t="str">
        <x:v>Countercharge</x:v>
      </x:c>
      <x:c r="J185" s="203" t="str">
        <x:v>Oathkeeper</x:v>
      </x:c>
      <x:c r="K185" s="204" t="n">
        <x:v>105</x:v>
      </x:c>
      <x:c r="L185" s="204" t="n">
        <x:v>110</x:v>
      </x:c>
      <x:c r="M185" s="204" t="n">
        <x:v>110</x:v>
      </x:c>
      <x:c r="N185" s="204" t="n">
        <x:v>80</x:v>
      </x:c>
      <x:c r="O185" s="204" t="n">
        <x:v>105</x:v>
      </x:c>
      <x:c r="P185" s="204" t="n">
        <x:v>90</x:v>
      </x:c>
      <x:c r="Q185" s="204" t="n">
        <x:f>SUM(K185:P185)</x:f>
        <x:v>600</x:v>
      </x:c>
      <x:c r="R185" s="204" t="n">
        <x:v>600</x:v>
      </x:c>
      <x:c r="S185" s="204" t="n">
        <x:f>Q185-R185</x:f>
        <x:v>0</x:v>
      </x:c>
      <x:c r="T185" s="203" t="str">
        <x:v>Leans on Attack / Defense; gives up Sp. Atk to preserve the handoff profile H | H | H | M | H | M-H.</x:v>
      </x:c>
      <x:c r="U185" s="203" t="str">
        <x:v>Standard</x:v>
      </x:c>
      <x:c r="V185" s="203" t="str">
        <x:v>Standard</x:v>
      </x:c>
      <x:c r="W185" s="203" t="str">
        <x:v>Signature</x:v>
      </x:c>
      <x:c r="X185" s="205" t="str">
        <x:v>187-Monster Ability &amp; BST Design Handoff</x:v>
      </x:c>
    </x:row>
    <x:row r="186">
      <x:c r="A186" s="202" t="n">
        <x:v>184</x:v>
      </x:c>
      <x:c r="B186" s="203" t="str">
        <x:v>Liubeirow</x:v>
      </x:c>
      <x:c r="C186" s="203" t="str">
        <x:v>Grass</x:v>
      </x:c>
      <x:c r="D186" s="203" t="str">
        <x:v>Fairy</x:v>
      </x:c>
      <x:c r="E186" s="203" t="str">
        <x:v>Mythic</x:v>
      </x:c>
      <x:c r="F186" s="203" t="str">
        <x:v>Mythic</x:v>
      </x:c>
      <x:c r="G186" s="203" t="str">
        <x:v>H | M-H | M-H | H | H | H</x:v>
      </x:c>
      <x:c r="H186" s="203" t="str">
        <x:v>Medicinal Sap</x:v>
      </x:c>
      <x:c r="I186" s="203" t="str">
        <x:v>Rallying Cry</x:v>
      </x:c>
      <x:c r="J186" s="203" t="str">
        <x:v>Many Banners</x:v>
      </x:c>
      <x:c r="K186" s="204" t="n">
        <x:v>105</x:v>
      </x:c>
      <x:c r="L186" s="204" t="n">
        <x:v>90</x:v>
      </x:c>
      <x:c r="M186" s="204" t="n">
        <x:v>90</x:v>
      </x:c>
      <x:c r="N186" s="204" t="n">
        <x:v>105</x:v>
      </x:c>
      <x:c r="O186" s="204" t="n">
        <x:v>105</x:v>
      </x:c>
      <x:c r="P186" s="204" t="n">
        <x:v>105</x:v>
      </x:c>
      <x:c r="Q186" s="204" t="n">
        <x:f>SUM(K186:P186)</x:f>
        <x:v>600</x:v>
      </x:c>
      <x:c r="R186" s="204" t="n">
        <x:v>600</x:v>
      </x:c>
      <x:c r="S186" s="204" t="n">
        <x:f>Q186-R186</x:f>
        <x:v>0</x:v>
      </x:c>
      <x:c r="T186" s="203" t="str">
        <x:v>Leans on HP / Sp. Atk; gives up Attack / Defense to preserve the handoff profile H | M-H | M-H | H | H | H.</x:v>
      </x:c>
      <x:c r="U186" s="203" t="str">
        <x:v>Standard</x:v>
      </x:c>
      <x:c r="V186" s="203" t="str">
        <x:v>Standard</x:v>
      </x:c>
      <x:c r="W186" s="203" t="str">
        <x:v>Signature</x:v>
      </x:c>
      <x:c r="X186" s="205" t="str">
        <x:v>187-Monster Ability &amp; BST Design Handoff</x:v>
      </x:c>
    </x:row>
    <x:row r="187">
      <x:c r="A187" s="202" t="n">
        <x:v>185</x:v>
      </x:c>
      <x:c r="B187" s="203" t="str">
        <x:v>Waranwei</x:v>
      </x:c>
      <x:c r="C187" s="203" t="str">
        <x:v>Poison</x:v>
      </x:c>
      <x:c r="D187" s="203" t="str">
        <x:v>Dragon</x:v>
      </x:c>
      <x:c r="E187" s="203" t="str">
        <x:v>Mythic</x:v>
      </x:c>
      <x:c r="F187" s="203" t="str">
        <x:v>Mythic</x:v>
      </x:c>
      <x:c r="G187" s="203" t="str">
        <x:v>M-H | H | M-H | H | H | H</x:v>
      </x:c>
      <x:c r="H187" s="203" t="str">
        <x:v>Foresight</x:v>
      </x:c>
      <x:c r="I187" s="203" t="str">
        <x:v>Marked Quarry</x:v>
      </x:c>
      <x:c r="J187" s="203" t="str">
        <x:v>Strategem</x:v>
      </x:c>
      <x:c r="K187" s="204" t="n">
        <x:v>90</x:v>
      </x:c>
      <x:c r="L187" s="204" t="n">
        <x:v>105</x:v>
      </x:c>
      <x:c r="M187" s="204" t="n">
        <x:v>90</x:v>
      </x:c>
      <x:c r="N187" s="204" t="n">
        <x:v>105</x:v>
      </x:c>
      <x:c r="O187" s="204" t="n">
        <x:v>105</x:v>
      </x:c>
      <x:c r="P187" s="204" t="n">
        <x:v>105</x:v>
      </x:c>
      <x:c r="Q187" s="204" t="n">
        <x:f>SUM(K187:P187)</x:f>
        <x:v>600</x:v>
      </x:c>
      <x:c r="R187" s="204" t="n">
        <x:v>600</x:v>
      </x:c>
      <x:c r="S187" s="204" t="n">
        <x:f>Q187-R187</x:f>
        <x:v>0</x:v>
      </x:c>
      <x:c r="T187" s="203" t="str">
        <x:v>Leans on Attack / Sp. Atk; gives up HP / Defense to preserve the handoff profile M-H | H | M-H | H | H | H.</x:v>
      </x:c>
      <x:c r="U187" s="203" t="str">
        <x:v>Standard</x:v>
      </x:c>
      <x:c r="V187" s="203" t="str">
        <x:v>Standard</x:v>
      </x:c>
      <x:c r="W187" s="203" t="str">
        <x:v>Signature</x:v>
      </x:c>
      <x:c r="X187" s="205" t="str">
        <x:v>187-Monster Ability &amp; BST Design Handoff</x:v>
      </x:c>
    </x:row>
    <x:row r="188">
      <x:c r="A188" s="202" t="n">
        <x:v>186</x:v>
      </x:c>
      <x:c r="B188" s="203" t="str">
        <x:v>Suncub</x:v>
      </x:c>
      <x:c r="C188" s="203" t="str">
        <x:v>Fire</x:v>
      </x:c>
      <x:c r="D188" s="203" t="str"/>
      <x:c r="E188" s="203" t="str">
        <x:v>Evolving Mythic Stage 1</x:v>
      </x:c>
      <x:c r="F188" s="203" t="str">
        <x:v>Middle / Evolving</x:v>
      </x:c>
      <x:c r="G188" s="203" t="str">
        <x:v>M | H | M | M-H | M | H</x:v>
      </x:c>
      <x:c r="H188" s="203" t="str">
        <x:v>First Strike</x:v>
      </x:c>
      <x:c r="I188" s="203" t="str">
        <x:v>Hard Head</x:v>
      </x:c>
      <x:c r="J188" s="203" t="str">
        <x:v>Battle Rush</x:v>
      </x:c>
      <x:c r="K188" s="204" t="n">
        <x:v>60</x:v>
      </x:c>
      <x:c r="L188" s="204" t="n">
        <x:v>85</x:v>
      </x:c>
      <x:c r="M188" s="204" t="n">
        <x:v>60</x:v>
      </x:c>
      <x:c r="N188" s="204" t="n">
        <x:v>70</x:v>
      </x:c>
      <x:c r="O188" s="204" t="n">
        <x:v>60</x:v>
      </x:c>
      <x:c r="P188" s="204" t="n">
        <x:v>85</x:v>
      </x:c>
      <x:c r="Q188" s="204" t="n">
        <x:f>SUM(K188:P188)</x:f>
        <x:v>420</x:v>
      </x:c>
      <x:c r="R188" s="204" t="n">
        <x:v>420</x:v>
      </x:c>
      <x:c r="S188" s="204" t="n">
        <x:f>Q188-R188</x:f>
        <x:v>0</x:v>
      </x:c>
      <x:c r="T188" s="203" t="str">
        <x:v>Leans on Attack / Speed; gives up HP / Defense to preserve the handoff profile M | H | M | M-H | M | H.</x:v>
      </x:c>
      <x:c r="U188" s="203" t="str">
        <x:v>Standard</x:v>
      </x:c>
      <x:c r="V188" s="203" t="str">
        <x:v>Standard</x:v>
      </x:c>
      <x:c r="W188" s="203" t="str">
        <x:v>Standard</x:v>
      </x:c>
      <x:c r="X188" s="205" t="str">
        <x:v>187-Monster Ability &amp; BST Design Handoff</x:v>
      </x:c>
    </x:row>
    <x:row r="189">
      <x:c r="A189" s="206" t="n">
        <x:v>187</x:v>
      </x:c>
      <x:c r="B189" s="207" t="str">
        <x:v>Cehong</x:v>
      </x:c>
      <x:c r="C189" s="207" t="str">
        <x:v>Fire</x:v>
      </x:c>
      <x:c r="D189" s="207" t="str">
        <x:v>Electric</x:v>
      </x:c>
      <x:c r="E189" s="207" t="str">
        <x:v>Evolving Mythic Final</x:v>
      </x:c>
      <x:c r="F189" s="207" t="str">
        <x:v>Mythic</x:v>
      </x:c>
      <x:c r="G189" s="207" t="str">
        <x:v>M-H | H | M | H | M-H | VH</x:v>
      </x:c>
      <x:c r="H189" s="207" t="str">
        <x:v>First Strike</x:v>
      </x:c>
      <x:c r="I189" s="207" t="str">
        <x:v>Alternator</x:v>
      </x:c>
      <x:c r="J189" s="207" t="str">
        <x:v>Conqueror's Spark</x:v>
      </x:c>
      <x:c r="K189" s="208" t="n">
        <x:v>90</x:v>
      </x:c>
      <x:c r="L189" s="208" t="n">
        <x:v>105</x:v>
      </x:c>
      <x:c r="M189" s="208" t="n">
        <x:v>80</x:v>
      </x:c>
      <x:c r="N189" s="208" t="n">
        <x:v>105</x:v>
      </x:c>
      <x:c r="O189" s="208" t="n">
        <x:v>90</x:v>
      </x:c>
      <x:c r="P189" s="208" t="n">
        <x:v>130</x:v>
      </x:c>
      <x:c r="Q189" s="208" t="n">
        <x:f>SUM(K189:P189)</x:f>
        <x:v>600</x:v>
      </x:c>
      <x:c r="R189" s="208" t="n">
        <x:v>600</x:v>
      </x:c>
      <x:c r="S189" s="208" t="n">
        <x:f>Q189-R189</x:f>
        <x:v>0</x:v>
      </x:c>
      <x:c r="T189" s="207" t="str">
        <x:v>Leans on Speed; gives up Defense to preserve the handoff profile M-H | H | M | H | M-H | VH.</x:v>
      </x:c>
      <x:c r="U189" s="207" t="str">
        <x:v>Standard</x:v>
      </x:c>
      <x:c r="V189" s="207" t="str">
        <x:v>Standard</x:v>
      </x:c>
      <x:c r="W189" s="207" t="str">
        <x:v>Signature</x:v>
      </x:c>
      <x:c r="X189" s="209" t="str">
        <x:v>187-Monster Ability &amp; BST Design Handoff</x:v>
      </x:c>
    </x:row>
    <x:row r="190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6"/>
      <x:c r="N190" s="176"/>
      <x:c r="O190" s="176"/>
      <x:c r="P190" s="176"/>
      <x:c r="Q190" s="176"/>
      <x:c r="R190" s="176"/>
      <x:c r="S190" s="176"/>
      <x:c r="T190" s="176"/>
      <x:c r="U190" s="176"/>
      <x:c r="V190" s="176"/>
      <x:c r="W190" s="176"/>
      <x:c r="X190" s="176"/>
    </x:row>
    <x:row r="191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6"/>
      <x:c r="N191" s="176"/>
      <x:c r="O191" s="176"/>
      <x:c r="P191" s="176"/>
      <x:c r="Q191" s="176"/>
      <x:c r="R191" s="176"/>
      <x:c r="S191" s="176"/>
      <x:c r="T191" s="176"/>
      <x:c r="U191" s="176"/>
      <x:c r="V191" s="176"/>
      <x:c r="W191" s="176"/>
      <x:c r="X191" s="176"/>
    </x:row>
    <x:row r="192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6"/>
      <x:c r="N192" s="176"/>
      <x:c r="O192" s="176"/>
      <x:c r="P192" s="176"/>
      <x:c r="Q192" s="176"/>
      <x:c r="R192" s="176"/>
      <x:c r="S192" s="176"/>
      <x:c r="T192" s="176"/>
      <x:c r="U192" s="176"/>
      <x:c r="V192" s="176"/>
      <x:c r="W192" s="176"/>
      <x:c r="X192" s="176"/>
    </x:row>
    <x:row r="193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6"/>
      <x:c r="N193" s="176"/>
      <x:c r="O193" s="176"/>
      <x:c r="P193" s="176"/>
      <x:c r="Q193" s="176"/>
      <x:c r="R193" s="176"/>
      <x:c r="S193" s="176"/>
      <x:c r="T193" s="176"/>
      <x:c r="U193" s="176"/>
      <x:c r="V193" s="176"/>
      <x:c r="W193" s="176"/>
      <x:c r="X193" s="176"/>
    </x:row>
    <x:row r="194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6"/>
      <x:c r="N194" s="176"/>
      <x:c r="O194" s="176"/>
      <x:c r="P194" s="176"/>
      <x:c r="Q194" s="176"/>
      <x:c r="R194" s="176"/>
      <x:c r="S194" s="176"/>
      <x:c r="T194" s="176"/>
      <x:c r="U194" s="176"/>
      <x:c r="V194" s="176"/>
      <x:c r="W194" s="176"/>
      <x:c r="X194" s="176"/>
    </x:row>
    <x:row r="19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6"/>
      <x:c r="N195" s="176"/>
      <x:c r="O195" s="176"/>
      <x:c r="P195" s="176"/>
      <x:c r="Q195" s="176"/>
      <x:c r="R195" s="176"/>
      <x:c r="S195" s="176"/>
      <x:c r="T195" s="176"/>
      <x:c r="U195" s="176"/>
      <x:c r="V195" s="176"/>
      <x:c r="W195" s="176"/>
      <x:c r="X195" s="176"/>
    </x:row>
    <x:row r="196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6"/>
      <x:c r="N196" s="176"/>
      <x:c r="O196" s="176"/>
      <x:c r="P196" s="176"/>
      <x:c r="Q196" s="176"/>
      <x:c r="R196" s="176"/>
      <x:c r="S196" s="176"/>
      <x:c r="T196" s="176"/>
      <x:c r="U196" s="176"/>
      <x:c r="V196" s="176"/>
      <x:c r="W196" s="176"/>
      <x:c r="X196" s="176"/>
    </x:row>
    <x:row r="197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6"/>
      <x:c r="N197" s="176"/>
      <x:c r="O197" s="176"/>
      <x:c r="P197" s="176"/>
      <x:c r="Q197" s="176"/>
      <x:c r="R197" s="176"/>
      <x:c r="S197" s="176"/>
      <x:c r="T197" s="176"/>
      <x:c r="U197" s="176"/>
      <x:c r="V197" s="176"/>
      <x:c r="W197" s="176"/>
      <x:c r="X197" s="176"/>
    </x:row>
    <x:row r="198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6"/>
      <x:c r="N198" s="176"/>
      <x:c r="O198" s="176"/>
      <x:c r="P198" s="176"/>
      <x:c r="Q198" s="176"/>
      <x:c r="R198" s="176"/>
      <x:c r="S198" s="176"/>
      <x:c r="T198" s="176"/>
      <x:c r="U198" s="176"/>
      <x:c r="V198" s="176"/>
      <x:c r="W198" s="176"/>
      <x:c r="X198" s="176"/>
    </x:row>
    <x:row r="199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6"/>
      <x:c r="N199" s="176"/>
      <x:c r="O199" s="176"/>
      <x:c r="P199" s="176"/>
      <x:c r="Q199" s="176"/>
      <x:c r="R199" s="176"/>
      <x:c r="S199" s="176"/>
      <x:c r="T199" s="176"/>
      <x:c r="U199" s="176"/>
      <x:c r="V199" s="176"/>
      <x:c r="W199" s="176"/>
      <x:c r="X199" s="176"/>
    </x:row>
    <x:row r="200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6"/>
      <x:c r="N200" s="176"/>
      <x:c r="O200" s="176"/>
      <x:c r="P200" s="176"/>
      <x:c r="Q200" s="176"/>
      <x:c r="R200" s="176"/>
      <x:c r="S200" s="176"/>
      <x:c r="T200" s="176"/>
      <x:c r="U200" s="176"/>
      <x:c r="V200" s="176"/>
      <x:c r="W200" s="176"/>
      <x:c r="X200" s="176"/>
    </x:row>
  </x:sheetData>
  <x:mergeCells>
    <x:mergeCell ref="A1:X1"/>
  </x:mergeCells>
  <x:conditionalFormatting sqref="Q3:Q189">
    <x:cfRule type="colorScale" priority="1">
      <x:colorScale>
        <x:cfvo type="min"/>
        <x:cfvo type="percentile" val="50"/>
        <x:cfvo type="max"/>
        <x:color rgb="FFF4D8D8"/>
        <x:color rgb="FFF4E8C7"/>
        <x:color rgb="FFDDEBDF"/>
      </x:colorScale>
    </x:cfRule>
  </x:conditionalFormatting>
  <x:conditionalFormatting sqref="S3:S189">
    <x:cfRule type="expression" dxfId="0" priority="2">
      <x:formula>S3&lt;&gt;0</x:formula>
    </x:cfRule>
  </x:conditionalFormatting>
  <x:conditionalFormatting sqref="F3:F189">
    <x:cfRule type="expression" dxfId="1" priority="3">
      <x:formula>OR(F3="Box Legendary",F3="Legendary Watcher",F3="Mythic",F3="Pseudo Final")</x:formula>
    </x:cfRule>
    <x:cfRule type="expression" dxfId="2" priority="4">
      <x:formula>ISNUMBER(SEARCH("Fossil",F3))</x:formula>
    </x:cfRule>
  </x:conditionalFormatting>
  <x:conditionalFormatting sqref="W3:W189">
    <x:cfRule type="expression" dxfId="3" priority="5">
      <x:formula>W3="Signature"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8c58e24a55341a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3" hidden="0" customWidth="1"/>
    <x:col min="3" max="3" width="74" hidden="0" customWidth="1"/>
    <x:col min="4" max="4" width="15" hidden="0" customWidth="1"/>
    <x:col min="5" max="5" width="15" hidden="0" customWidth="1"/>
    <x:col min="6" max="6" width="48" hidden="0" customWidth="1"/>
  </x:cols>
  <x:sheetData>
    <x:row r="1">
      <x:c r="A1" s="273" t="str">
        <x:v>Ability Glossary — Shared, Rare &amp; Signature Effects</x:v>
      </x:c>
      <x:c r="B1" s="273"/>
      <x:c r="C1" s="273"/>
      <x:c r="D1" s="273"/>
      <x:c r="E1" s="273"/>
      <x:c r="F1" s="273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  <x:c r="S1" s="176"/>
      <x:c r="T1" s="176"/>
      <x:c r="U1" s="176"/>
      <x:c r="V1" s="176"/>
      <x:c r="W1" s="176"/>
      <x:c r="X1" s="176"/>
    </x:row>
    <x:row r="2">
      <x:c r="A2" s="197" t="str">
        <x:v>Ability</x:v>
      </x:c>
      <x:c r="B2" s="197" t="str">
        <x:v>Class</x:v>
      </x:c>
      <x:c r="C2" s="197" t="str">
        <x:v>Exact Battle Effect</x:v>
      </x:c>
      <x:c r="D2" s="197" t="str">
        <x:v>Species Using It</x:v>
      </x:c>
      <x:c r="E2" s="197" t="str">
        <x:v>Hidden-Ability Users</x:v>
      </x:c>
      <x:c r="F2" s="197" t="str">
        <x:v>Design Intent</x:v>
      </x:c>
      <x:c r="G2" s="176"/>
      <x:c r="H2" s="176"/>
      <x:c r="I2" s="176"/>
      <x:c r="J2" s="176"/>
      <x:c r="K2" s="176"/>
      <x:c r="L2" s="176"/>
      <x:c r="M2" s="176"/>
      <x:c r="N2" s="176"/>
      <x:c r="O2" s="176"/>
      <x:c r="P2" s="176"/>
      <x:c r="Q2" s="176"/>
      <x:c r="R2" s="176"/>
      <x:c r="S2" s="176"/>
      <x:c r="T2" s="176"/>
      <x:c r="U2" s="176"/>
      <x:c r="V2" s="176"/>
      <x:c r="W2" s="176"/>
      <x:c r="X2" s="176"/>
    </x:row>
    <x:row r="3">
      <x:c r="A3" s="223" t="str">
        <x:v>Adaptable Hide</x:v>
      </x:c>
      <x:c r="B3" s="224" t="str">
        <x:v>Standard</x:v>
      </x:c>
      <x:c r="C3" s="224" t="str">
        <x:v>After it is hit by a damaging move, further damage from that move's type is reduced by 20% until this monster switches out.</x:v>
      </x:c>
      <x:c r="D3" s="225" t="n">
        <x:v>7</x:v>
      </x:c>
      <x:c r="E3" s="225" t="n">
        <x:v>1</x:v>
      </x:c>
      <x:c r="F3" s="226" t="str">
        <x:v>Reusable core ability; intentionally simple and broadly shareable.</x:v>
      </x:c>
      <x:c r="G3" s="176"/>
      <x:c r="H3" s="176"/>
      <x:c r="I3" s="176"/>
      <x:c r="J3" s="176"/>
      <x:c r="K3" s="176"/>
      <x:c r="L3" s="176"/>
      <x:c r="M3" s="176"/>
      <x:c r="N3" s="176"/>
      <x:c r="O3" s="176"/>
      <x:c r="P3" s="176"/>
      <x:c r="Q3" s="176"/>
      <x:c r="R3" s="176"/>
      <x:c r="S3" s="176"/>
      <x:c r="T3" s="176"/>
      <x:c r="U3" s="176"/>
      <x:c r="V3" s="176"/>
      <x:c r="W3" s="176"/>
      <x:c r="X3" s="176"/>
    </x:row>
    <x:row r="4">
      <x:c r="A4" s="227" t="str">
        <x:v>Alternator</x:v>
      </x:c>
      <x:c r="B4" s="228" t="str">
        <x:v>Standard</x:v>
      </x:c>
      <x:c r="C4" s="228" t="str">
        <x:v>A damaging move deals 10% more damage if it is a different type from this monster's previous damaging move.</x:v>
      </x:c>
      <x:c r="D4" s="229" t="n">
        <x:v>7</x:v>
      </x:c>
      <x:c r="E4" s="229" t="n">
        <x:v>5</x:v>
      </x:c>
      <x:c r="F4" s="230" t="str">
        <x:v>Reusable core ability; intentionally simple and broadly shareable.</x:v>
      </x:c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6"/>
      <x:c r="S4" s="176"/>
      <x:c r="T4" s="176"/>
      <x:c r="U4" s="176"/>
      <x:c r="V4" s="176"/>
      <x:c r="W4" s="176"/>
      <x:c r="X4" s="176"/>
    </x:row>
    <x:row r="5">
      <x:c r="A5" s="227" t="str">
        <x:v>Ambush</x:v>
      </x:c>
      <x:c r="B5" s="228" t="str">
        <x:v>Standard</x:v>
      </x:c>
      <x:c r="C5" s="228" t="str">
        <x:v>The first damaging move used after entering battle deals 10% more damage.</x:v>
      </x:c>
      <x:c r="D5" s="229" t="n">
        <x:v>17</x:v>
      </x:c>
      <x:c r="E5" s="229" t="n">
        <x:v>2</x:v>
      </x:c>
      <x:c r="F5" s="230" t="str">
        <x:v>Reusable core ability; intentionally simple and broadly shareable.</x:v>
      </x:c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176"/>
      <x:c r="R5" s="176"/>
      <x:c r="S5" s="176"/>
      <x:c r="T5" s="176"/>
      <x:c r="U5" s="176"/>
      <x:c r="V5" s="176"/>
      <x:c r="W5" s="176"/>
      <x:c r="X5" s="176"/>
    </x:row>
    <x:row r="6">
      <x:c r="A6" s="227" t="str">
        <x:v>Battle Nerve</x:v>
      </x:c>
      <x:c r="B6" s="228" t="str">
        <x:v>Standard</x:v>
      </x:c>
      <x:c r="C6" s="228" t="str">
        <x:v>Opponents cannot lower this monster's Attack.</x:v>
      </x:c>
      <x:c r="D6" s="229" t="n">
        <x:v>5</x:v>
      </x:c>
      <x:c r="E6" s="229" t="n">
        <x:v>1</x:v>
      </x:c>
      <x:c r="F6" s="230" t="str">
        <x:v>Reusable core ability; intentionally simple and broadly shareable.</x:v>
      </x:c>
      <x:c r="G6" s="176"/>
      <x:c r="H6" s="176"/>
      <x:c r="I6" s="176"/>
      <x:c r="J6" s="176"/>
      <x:c r="K6" s="176"/>
      <x:c r="L6" s="176"/>
      <x:c r="M6" s="176"/>
      <x:c r="N6" s="176"/>
      <x:c r="O6" s="176"/>
      <x:c r="P6" s="176"/>
      <x:c r="Q6" s="176"/>
      <x:c r="R6" s="176"/>
      <x:c r="S6" s="176"/>
      <x:c r="T6" s="176"/>
      <x:c r="U6" s="176"/>
      <x:c r="V6" s="176"/>
      <x:c r="W6" s="176"/>
      <x:c r="X6" s="176"/>
    </x:row>
    <x:row r="7">
      <x:c r="A7" s="227" t="str">
        <x:v>Battle Rush</x:v>
      </x:c>
      <x:c r="B7" s="228" t="str">
        <x:v>Standard</x:v>
      </x:c>
      <x:c r="C7" s="228" t="str">
        <x:v>After this monster knocks out a foe, its Speed rises by 1 stage. Can trigger once per switch-in.</x:v>
      </x:c>
      <x:c r="D7" s="229" t="n">
        <x:v>7</x:v>
      </x:c>
      <x:c r="E7" s="229" t="n">
        <x:v>7</x:v>
      </x:c>
      <x:c r="F7" s="230" t="str">
        <x:v>Reusable core ability; intentionally simple and broadly shareable.</x:v>
      </x:c>
      <x:c r="G7" s="176"/>
      <x:c r="H7" s="176"/>
      <x:c r="I7" s="176"/>
      <x:c r="J7" s="176"/>
      <x:c r="K7" s="176"/>
      <x:c r="L7" s="176"/>
      <x:c r="M7" s="176"/>
      <x:c r="N7" s="176"/>
      <x:c r="O7" s="176"/>
      <x:c r="P7" s="176"/>
      <x:c r="Q7" s="176"/>
      <x:c r="R7" s="176"/>
      <x:c r="S7" s="176"/>
      <x:c r="T7" s="176"/>
      <x:c r="U7" s="176"/>
      <x:c r="V7" s="176"/>
      <x:c r="W7" s="176"/>
      <x:c r="X7" s="176"/>
    </x:row>
    <x:row r="8">
      <x:c r="A8" s="227" t="str">
        <x:v>Berry Hoard</x:v>
      </x:c>
      <x:c r="B8" s="228" t="str">
        <x:v>Standard</x:v>
      </x:c>
      <x:c r="C8" s="228" t="str">
        <x:v>Once per battle, a Berry consumed by this monster regrows two turns later if it is still active and has no held item.</x:v>
      </x:c>
      <x:c r="D8" s="229" t="n">
        <x:v>4</x:v>
      </x:c>
      <x:c r="E8" s="229" t="n">
        <x:v>0</x:v>
      </x:c>
      <x:c r="F8" s="230" t="str">
        <x:v>Reusable core ability; intentionally simple and broadly shareable.</x:v>
      </x:c>
      <x:c r="G8" s="176"/>
      <x:c r="H8" s="176"/>
      <x:c r="I8" s="176"/>
      <x:c r="J8" s="176"/>
      <x:c r="K8" s="176"/>
      <x:c r="L8" s="176"/>
      <x:c r="M8" s="176"/>
      <x:c r="N8" s="176"/>
      <x:c r="O8" s="176"/>
      <x:c r="P8" s="176"/>
      <x:c r="Q8" s="176"/>
      <x:c r="R8" s="176"/>
      <x:c r="S8" s="176"/>
      <x:c r="T8" s="176"/>
      <x:c r="U8" s="176"/>
      <x:c r="V8" s="176"/>
      <x:c r="W8" s="176"/>
      <x:c r="X8" s="176"/>
    </x:row>
    <x:row r="9">
      <x:c r="A9" s="227" t="str">
        <x:v>Bindproof</x:v>
      </x:c>
      <x:c r="B9" s="228" t="str">
        <x:v>Standard</x:v>
      </x:c>
      <x:c r="C9" s="228" t="str">
        <x:v>This monster cannot be trapped, and residual damage from binding moves is halved.</x:v>
      </x:c>
      <x:c r="D9" s="229" t="n">
        <x:v>2</x:v>
      </x:c>
      <x:c r="E9" s="229" t="n">
        <x:v>0</x:v>
      </x:c>
      <x:c r="F9" s="230" t="str">
        <x:v>Reusable core ability; intentionally simple and broadly shareable.</x:v>
      </x:c>
      <x:c r="G9" s="176"/>
      <x:c r="H9" s="176"/>
      <x:c r="I9" s="176"/>
      <x:c r="J9" s="176"/>
      <x:c r="K9" s="176"/>
      <x:c r="L9" s="176"/>
      <x:c r="M9" s="176"/>
      <x:c r="N9" s="176"/>
      <x:c r="O9" s="176"/>
      <x:c r="P9" s="176"/>
      <x:c r="Q9" s="176"/>
      <x:c r="R9" s="176"/>
      <x:c r="S9" s="176"/>
      <x:c r="T9" s="176"/>
      <x:c r="U9" s="176"/>
      <x:c r="V9" s="176"/>
      <x:c r="W9" s="176"/>
      <x:c r="X9" s="176"/>
    </x:row>
    <x:row r="10">
      <x:c r="A10" s="227" t="str">
        <x:v>Bulwark</x:v>
      </x:c>
      <x:c r="B10" s="228" t="str">
        <x:v>Standard</x:v>
      </x:c>
      <x:c r="C10" s="228" t="str">
        <x:v>Damage from contact moves is reduced by 20%.</x:v>
      </x:c>
      <x:c r="D10" s="229" t="n">
        <x:v>5</x:v>
      </x:c>
      <x:c r="E10" s="229" t="n">
        <x:v>5</x:v>
      </x:c>
      <x:c r="F10" s="230" t="str">
        <x:v>Reusable core ability; intentionally simple and broadly shareable.</x:v>
      </x:c>
      <x:c r="G10" s="176"/>
      <x:c r="H10" s="176"/>
      <x:c r="I10" s="176"/>
      <x:c r="J10" s="176"/>
      <x:c r="K10" s="176"/>
      <x:c r="L10" s="176"/>
      <x:c r="M10" s="176"/>
      <x:c r="N10" s="176"/>
      <x:c r="O10" s="176"/>
      <x:c r="P10" s="176"/>
      <x:c r="Q10" s="176"/>
      <x:c r="R10" s="176"/>
      <x:c r="S10" s="176"/>
      <x:c r="T10" s="176"/>
      <x:c r="U10" s="176"/>
      <x:c r="V10" s="176"/>
      <x:c r="W10" s="176"/>
      <x:c r="X10" s="176"/>
    </x:row>
    <x:row r="11">
      <x:c r="A11" s="227" t="str">
        <x:v>Calm Guard</x:v>
      </x:c>
      <x:c r="B11" s="228" t="str">
        <x:v>Standard</x:v>
      </x:c>
      <x:c r="C11" s="228" t="str">
        <x:v>Opponents cannot lower this monster's Sp. Def.</x:v>
      </x:c>
      <x:c r="D11" s="229" t="n">
        <x:v>10</x:v>
      </x:c>
      <x:c r="E11" s="229" t="n">
        <x:v>1</x:v>
      </x:c>
      <x:c r="F11" s="230" t="str">
        <x:v>Reusable core ability; intentionally simple and broadly shareable.</x:v>
      </x:c>
      <x:c r="G11" s="176"/>
      <x:c r="H11" s="176"/>
      <x:c r="I11" s="176"/>
      <x:c r="J11" s="176"/>
      <x:c r="K11" s="176"/>
      <x:c r="L11" s="176"/>
      <x:c r="M11" s="176"/>
      <x:c r="N11" s="176"/>
      <x:c r="O11" s="176"/>
      <x:c r="P11" s="176"/>
      <x:c r="Q11" s="176"/>
      <x:c r="R11" s="176"/>
      <x:c r="S11" s="176"/>
      <x:c r="T11" s="176"/>
      <x:c r="U11" s="176"/>
      <x:c r="V11" s="176"/>
      <x:c r="W11" s="176"/>
      <x:c r="X11" s="176"/>
    </x:row>
    <x:row r="12">
      <x:c r="A12" s="227" t="str">
        <x:v>Camouflage</x:v>
      </x:c>
      <x:c r="B12" s="228" t="str">
        <x:v>Standard</x:v>
      </x:c>
      <x:c r="C12" s="228" t="str">
        <x:v>The first damaging hit taken after entering battle is reduced by 15% if the move is not super effective.</x:v>
      </x:c>
      <x:c r="D12" s="229" t="n">
        <x:v>6</x:v>
      </x:c>
      <x:c r="E12" s="229" t="n">
        <x:v>4</x:v>
      </x:c>
      <x:c r="F12" s="230" t="str">
        <x:v>Reusable core ability; intentionally simple and broadly shareable.</x:v>
      </x:c>
      <x:c r="G12" s="176"/>
      <x:c r="H12" s="176"/>
      <x:c r="I12" s="176"/>
      <x:c r="J12" s="176"/>
      <x:c r="K12" s="176"/>
      <x:c r="L12" s="176"/>
      <x:c r="M12" s="176"/>
      <x:c r="N12" s="176"/>
      <x:c r="O12" s="176"/>
      <x:c r="P12" s="176"/>
      <x:c r="Q12" s="176"/>
      <x:c r="R12" s="176"/>
      <x:c r="S12" s="176"/>
      <x:c r="T12" s="176"/>
      <x:c r="U12" s="176"/>
      <x:c r="V12" s="176"/>
      <x:c r="W12" s="176"/>
      <x:c r="X12" s="176"/>
    </x:row>
    <x:row r="13">
      <x:c r="A13" s="227" t="str">
        <x:v>Capacitor</x:v>
      </x:c>
      <x:c r="B13" s="228" t="str">
        <x:v>Rare</x:v>
      </x:c>
      <x:c r="C13" s="228" t="str">
        <x:v>Electric-type moves deal no damage to this monster and instead raise its Sp. Atk by 1 stage.</x:v>
      </x:c>
      <x:c r="D13" s="229" t="n">
        <x:v>6</x:v>
      </x:c>
      <x:c r="E13" s="229" t="n">
        <x:v>3</x:v>
      </x:c>
      <x:c r="F13" s="230" t="str">
        <x:v>Stronger/specialised reusable effect; assign sparingly.</x:v>
      </x:c>
      <x:c r="G13" s="176"/>
      <x:c r="H13" s="176"/>
      <x:c r="I13" s="176"/>
      <x:c r="J13" s="176"/>
      <x:c r="K13" s="176"/>
      <x:c r="L13" s="176"/>
      <x:c r="M13" s="176"/>
      <x:c r="N13" s="176"/>
      <x:c r="O13" s="176"/>
      <x:c r="P13" s="176"/>
      <x:c r="Q13" s="176"/>
      <x:c r="R13" s="176"/>
      <x:c r="S13" s="176"/>
      <x:c r="T13" s="176"/>
      <x:c r="U13" s="176"/>
      <x:c r="V13" s="176"/>
      <x:c r="W13" s="176"/>
      <x:c r="X13" s="176"/>
    </x:row>
    <x:row r="14">
      <x:c r="A14" s="227" t="str">
        <x:v>Celestial Tempest</x:v>
      </x:c>
      <x:c r="B14" s="228" t="str">
        <x:v>Signature</x:v>
      </x:c>
      <x:c r="C14" s="228" t="str">
        <x:v>On entry, creates Tempest for 5 turns. Electric moves deal 20% more damage and Dragon moves 10% more; other weather is replaced.</x:v>
      </x:c>
      <x:c r="D14" s="229" t="n">
        <x:v>1</x:v>
      </x:c>
      <x:c r="E14" s="229" t="n">
        <x:v>1</x:v>
      </x:c>
      <x:c r="F14" s="230" t="str">
        <x:v>Defining bespoke mechanic; keep implementation and tuning isolated.</x:v>
      </x:c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  <x:c r="R14" s="176"/>
      <x:c r="S14" s="176"/>
      <x:c r="T14" s="176"/>
      <x:c r="U14" s="176"/>
      <x:c r="V14" s="176"/>
      <x:c r="W14" s="176"/>
      <x:c r="X14" s="176"/>
    </x:row>
    <x:row r="15">
      <x:c r="A15" s="227" t="str">
        <x:v>Chorus</x:v>
      </x:c>
      <x:c r="B15" s="228" t="str">
        <x:v>Standard</x:v>
      </x:c>
      <x:c r="C15" s="228" t="str">
        <x:v>Sound-based moves used by this monster deal 20% more damage.</x:v>
      </x:c>
      <x:c r="D15" s="229" t="n">
        <x:v>9</x:v>
      </x:c>
      <x:c r="E15" s="229" t="n">
        <x:v>1</x:v>
      </x:c>
      <x:c r="F15" s="230" t="str">
        <x:v>Reusable core ability; intentionally simple and broadly shareable.</x:v>
      </x:c>
      <x:c r="G15" s="176"/>
      <x:c r="H15" s="176"/>
      <x:c r="I15" s="176"/>
      <x:c r="J15" s="176"/>
      <x:c r="K15" s="176"/>
      <x:c r="L15" s="176"/>
      <x:c r="M15" s="176"/>
      <x:c r="N15" s="176"/>
      <x:c r="O15" s="176"/>
      <x:c r="P15" s="176"/>
      <x:c r="Q15" s="176"/>
      <x:c r="R15" s="176"/>
      <x:c r="S15" s="176"/>
      <x:c r="T15" s="176"/>
      <x:c r="U15" s="176"/>
      <x:c r="V15" s="176"/>
      <x:c r="W15" s="176"/>
      <x:c r="X15" s="176"/>
    </x:row>
    <x:row r="16">
      <x:c r="A16" s="227" t="str">
        <x:v>Cinderhide</x:v>
      </x:c>
      <x:c r="B16" s="228" t="str">
        <x:v>Standard</x:v>
      </x:c>
      <x:c r="C16" s="228" t="str">
        <x:v>A foe making contact has a 15% chance to be burned.</x:v>
      </x:c>
      <x:c r="D16" s="229" t="n">
        <x:v>8</x:v>
      </x:c>
      <x:c r="E16" s="229" t="n">
        <x:v>0</x:v>
      </x:c>
      <x:c r="F16" s="230" t="str">
        <x:v>Reusable core ability; intentionally simple and broadly shareable.</x:v>
      </x:c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  <x:c r="R16" s="176"/>
      <x:c r="S16" s="176"/>
      <x:c r="T16" s="176"/>
      <x:c r="U16" s="176"/>
      <x:c r="V16" s="176"/>
      <x:c r="W16" s="176"/>
      <x:c r="X16" s="176"/>
    </x:row>
    <x:row r="17">
      <x:c r="A17" s="227" t="str">
        <x:v>Clear Judgment</x:v>
      </x:c>
      <x:c r="B17" s="228" t="str">
        <x:v>Signature</x:v>
      </x:c>
      <x:c r="C17" s="228" t="str">
        <x:v>On entry, removes this monster's negative stat stages. While it is active, opponents cannot raise evasion.</x:v>
      </x:c>
      <x:c r="D17" s="229" t="n">
        <x:v>1</x:v>
      </x:c>
      <x:c r="E17" s="229" t="n">
        <x:v>1</x:v>
      </x:c>
      <x:c r="F17" s="230" t="str">
        <x:v>Defining bespoke mechanic; keep implementation and tuning isolated.</x:v>
      </x:c>
      <x:c r="G17" s="176"/>
      <x:c r="H17" s="176"/>
      <x:c r="I17" s="176"/>
      <x:c r="J17" s="176"/>
      <x:c r="K17" s="176"/>
      <x:c r="L17" s="176"/>
      <x:c r="M17" s="176"/>
      <x:c r="N17" s="176"/>
      <x:c r="O17" s="176"/>
      <x:c r="P17" s="176"/>
      <x:c r="Q17" s="176"/>
      <x:c r="R17" s="176"/>
      <x:c r="S17" s="176"/>
      <x:c r="T17" s="176"/>
      <x:c r="U17" s="176"/>
      <x:c r="V17" s="176"/>
      <x:c r="W17" s="176"/>
      <x:c r="X17" s="176"/>
    </x:row>
    <x:row r="18">
      <x:c r="A18" s="227" t="str">
        <x:v>Coldproof</x:v>
      </x:c>
      <x:c r="B18" s="228" t="str">
        <x:v>Standard</x:v>
      </x:c>
      <x:c r="C18" s="228" t="str">
        <x:v>This monster cannot be frozen.</x:v>
      </x:c>
      <x:c r="D18" s="229" t="n">
        <x:v>6</x:v>
      </x:c>
      <x:c r="E18" s="229" t="n">
        <x:v>0</x:v>
      </x:c>
      <x:c r="F18" s="230" t="str">
        <x:v>Reusable core ability; intentionally simple and broadly shareable.</x:v>
      </x:c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  <x:c r="R18" s="176"/>
      <x:c r="S18" s="176"/>
      <x:c r="T18" s="176"/>
      <x:c r="U18" s="176"/>
      <x:c r="V18" s="176"/>
      <x:c r="W18" s="176"/>
      <x:c r="X18" s="176"/>
    </x:row>
    <x:row r="19">
      <x:c r="A19" s="227" t="str">
        <x:v>Conqueror's Spark</x:v>
      </x:c>
      <x:c r="B19" s="228" t="str">
        <x:v>Signature</x:v>
      </x:c>
      <x:c r="C19" s="228" t="str">
        <x:v>The first time this monster scores a knockout each battle, its Speed rises by 1 stage and its next Fire- or Electric-type move deals 20% more damage.</x:v>
      </x:c>
      <x:c r="D19" s="229" t="n">
        <x:v>1</x:v>
      </x:c>
      <x:c r="E19" s="229" t="n">
        <x:v>1</x:v>
      </x:c>
      <x:c r="F19" s="230" t="str">
        <x:v>Defining bespoke mechanic; keep implementation and tuning isolated.</x:v>
      </x:c>
      <x:c r="G19" s="176"/>
      <x:c r="H19" s="176"/>
      <x:c r="I19" s="176"/>
      <x:c r="J19" s="176"/>
      <x:c r="K19" s="176"/>
      <x:c r="L19" s="176"/>
      <x:c r="M19" s="176"/>
      <x:c r="N19" s="176"/>
      <x:c r="O19" s="176"/>
      <x:c r="P19" s="176"/>
      <x:c r="Q19" s="176"/>
      <x:c r="R19" s="176"/>
      <x:c r="S19" s="176"/>
      <x:c r="T19" s="176"/>
      <x:c r="U19" s="176"/>
      <x:c r="V19" s="176"/>
      <x:c r="W19" s="176"/>
      <x:c r="X19" s="176"/>
    </x:row>
    <x:row r="20">
      <x:c r="A20" s="227" t="str">
        <x:v>Countercharge</x:v>
      </x:c>
      <x:c r="B20" s="228" t="str">
        <x:v>Standard</x:v>
      </x:c>
      <x:c r="C20" s="228" t="str">
        <x:v>After taking damage from a contact move, Attack rises by 1 stage. Can trigger once per switch-in.</x:v>
      </x:c>
      <x:c r="D20" s="229" t="n">
        <x:v>12</x:v>
      </x:c>
      <x:c r="E20" s="229" t="n">
        <x:v>2</x:v>
      </x:c>
      <x:c r="F20" s="230" t="str">
        <x:v>Reusable core ability; intentionally simple and broadly shareable.</x:v>
      </x:c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  <x:c r="R20" s="176"/>
      <x:c r="S20" s="176"/>
      <x:c r="T20" s="176"/>
      <x:c r="U20" s="176"/>
      <x:c r="V20" s="176"/>
      <x:c r="W20" s="176"/>
      <x:c r="X20" s="176"/>
    </x:row>
    <x:row r="21">
      <x:c r="A21" s="227" t="str">
        <x:v>Covetous Mirror</x:v>
      </x:c>
      <x:c r="B21" s="228" t="str">
        <x:v>Rare</x:v>
      </x:c>
      <x:c r="C21" s="228" t="str">
        <x:v>The first time an opponent raises one or more stats after this monster enters, this monster copies one of those positive stat stages.</x:v>
      </x:c>
      <x:c r="D21" s="229" t="n">
        <x:v>2</x:v>
      </x:c>
      <x:c r="E21" s="229" t="n">
        <x:v>2</x:v>
      </x:c>
      <x:c r="F21" s="230" t="str">
        <x:v>Stronger/specialised reusable effect; assign sparingly.</x:v>
      </x:c>
      <x:c r="G21" s="176"/>
      <x:c r="H21" s="176"/>
      <x:c r="I21" s="176"/>
      <x:c r="J21" s="176"/>
      <x:c r="K21" s="176"/>
      <x:c r="L21" s="176"/>
      <x:c r="M21" s="176"/>
      <x:c r="N21" s="176"/>
      <x:c r="O21" s="176"/>
      <x:c r="P21" s="176"/>
      <x:c r="Q21" s="176"/>
      <x:c r="R21" s="176"/>
      <x:c r="S21" s="176"/>
      <x:c r="T21" s="176"/>
      <x:c r="U21" s="176"/>
      <x:c r="V21" s="176"/>
      <x:c r="W21" s="176"/>
      <x:c r="X21" s="176"/>
    </x:row>
    <x:row r="22">
      <x:c r="A22" s="227" t="str">
        <x:v>Earthroot</x:v>
      </x:c>
      <x:c r="B22" s="228" t="str">
        <x:v>Standard</x:v>
      </x:c>
      <x:c r="C22" s="228" t="str">
        <x:v>Restores 1/16 of maximum HP at the end of each turn while Grassy or Ground terrain is active.</x:v>
      </x:c>
      <x:c r="D22" s="229" t="n">
        <x:v>2</x:v>
      </x:c>
      <x:c r="E22" s="229" t="n">
        <x:v>1</x:v>
      </x:c>
      <x:c r="F22" s="230" t="str">
        <x:v>Reusable core ability; intentionally simple and broadly shareable.</x:v>
      </x:c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  <x:c r="R22" s="176"/>
      <x:c r="S22" s="176"/>
      <x:c r="T22" s="176"/>
      <x:c r="U22" s="176"/>
      <x:c r="V22" s="176"/>
      <x:c r="W22" s="176"/>
      <x:c r="X22" s="176"/>
    </x:row>
    <x:row r="23">
      <x:c r="A23" s="227" t="str">
        <x:v>Feast</x:v>
      </x:c>
      <x:c r="B23" s="228" t="str">
        <x:v>Standard</x:v>
      </x:c>
      <x:c r="C23" s="228" t="str">
        <x:v>Healing received from held Berries is increased by 50%.</x:v>
      </x:c>
      <x:c r="D23" s="229" t="n">
        <x:v>2</x:v>
      </x:c>
      <x:c r="E23" s="229" t="n">
        <x:v>2</x:v>
      </x:c>
      <x:c r="F23" s="230" t="str">
        <x:v>Reusable core ability; intentionally simple and broadly shareable.</x:v>
      </x:c>
      <x:c r="G23" s="176"/>
      <x:c r="H23" s="176"/>
      <x:c r="I23" s="176"/>
      <x:c r="J23" s="176"/>
      <x:c r="K23" s="176"/>
      <x:c r="L23" s="176"/>
      <x:c r="M23" s="176"/>
      <x:c r="N23" s="176"/>
      <x:c r="O23" s="176"/>
      <x:c r="P23" s="176"/>
      <x:c r="Q23" s="176"/>
      <x:c r="R23" s="176"/>
      <x:c r="S23" s="176"/>
      <x:c r="T23" s="176"/>
      <x:c r="U23" s="176"/>
      <x:c r="V23" s="176"/>
      <x:c r="W23" s="176"/>
      <x:c r="X23" s="176"/>
    </x:row>
    <x:row r="24">
      <x:c r="A24" s="227" t="str">
        <x:v>Feintstep</x:v>
      </x:c>
      <x:c r="B24" s="228" t="str">
        <x:v>Standard</x:v>
      </x:c>
      <x:c r="C24" s="228" t="str">
        <x:v>After successfully using a non-damaging move, Speed rises by 1 stage. Can trigger once per switch-in.</x:v>
      </x:c>
      <x:c r="D24" s="229" t="n">
        <x:v>12</x:v>
      </x:c>
      <x:c r="E24" s="229" t="n">
        <x:v>0</x:v>
      </x:c>
      <x:c r="F24" s="230" t="str">
        <x:v>Reusable core ability; intentionally simple and broadly shareable.</x:v>
      </x:c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  <x:c r="S24" s="176"/>
      <x:c r="T24" s="176"/>
      <x:c r="U24" s="176"/>
      <x:c r="V24" s="176"/>
      <x:c r="W24" s="176"/>
      <x:c r="X24" s="176"/>
    </x:row>
    <x:row r="25">
      <x:c r="A25" s="227" t="str">
        <x:v>Firm Stance</x:v>
      </x:c>
      <x:c r="B25" s="228" t="str">
        <x:v>Standard</x:v>
      </x:c>
      <x:c r="C25" s="228" t="str">
        <x:v>Opponents cannot force this monster to switch out.</x:v>
      </x:c>
      <x:c r="D25" s="229" t="n">
        <x:v>16</x:v>
      </x:c>
      <x:c r="E25" s="229" t="n">
        <x:v>1</x:v>
      </x:c>
      <x:c r="F25" s="230" t="str">
        <x:v>Reusable core ability; intentionally simple and broadly shareable.</x:v>
      </x:c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  <x:c r="S25" s="176"/>
      <x:c r="T25" s="176"/>
      <x:c r="U25" s="176"/>
      <x:c r="V25" s="176"/>
      <x:c r="W25" s="176"/>
      <x:c r="X25" s="176"/>
    </x:row>
    <x:row r="26">
      <x:c r="A26" s="227" t="str">
        <x:v>First Strike</x:v>
      </x:c>
      <x:c r="B26" s="228" t="str">
        <x:v>Standard</x:v>
      </x:c>
      <x:c r="C26" s="228" t="str">
        <x:v>Damaging moves deal 10% more damage when this monster acts before its target.</x:v>
      </x:c>
      <x:c r="D26" s="229" t="n">
        <x:v>12</x:v>
      </x:c>
      <x:c r="E26" s="229" t="n">
        <x:v>6</x:v>
      </x:c>
      <x:c r="F26" s="230" t="str">
        <x:v>Reusable core ability; intentionally simple and broadly shareable.</x:v>
      </x:c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  <x:c r="R26" s="176"/>
      <x:c r="S26" s="176"/>
      <x:c r="T26" s="176"/>
      <x:c r="U26" s="176"/>
      <x:c r="V26" s="176"/>
      <x:c r="W26" s="176"/>
      <x:c r="X26" s="176"/>
    </x:row>
    <x:row r="27">
      <x:c r="A27" s="227" t="str">
        <x:v>Floodplain</x:v>
      </x:c>
      <x:c r="B27" s="228" t="str">
        <x:v>Rare</x:v>
      </x:c>
      <x:c r="C27" s="228" t="str">
        <x:v>If rain is active when this monster enters, or rain begins while it is active, Defense rises by 1 stage. Can trigger once per switch-in.</x:v>
      </x:c>
      <x:c r="D27" s="229" t="n">
        <x:v>2</x:v>
      </x:c>
      <x:c r="E27" s="229" t="n">
        <x:v>2</x:v>
      </x:c>
      <x:c r="F27" s="230" t="str">
        <x:v>Stronger/specialised reusable effect; assign sparingly.</x:v>
      </x:c>
      <x:c r="G27" s="176"/>
      <x:c r="H27" s="176"/>
      <x:c r="I27" s="176"/>
      <x:c r="J27" s="176"/>
      <x:c r="K27" s="176"/>
      <x:c r="L27" s="176"/>
      <x:c r="M27" s="176"/>
      <x:c r="N27" s="176"/>
      <x:c r="O27" s="176"/>
      <x:c r="P27" s="176"/>
      <x:c r="Q27" s="176"/>
      <x:c r="R27" s="176"/>
      <x:c r="S27" s="176"/>
      <x:c r="T27" s="176"/>
      <x:c r="U27" s="176"/>
      <x:c r="V27" s="176"/>
      <x:c r="W27" s="176"/>
      <x:c r="X27" s="176"/>
    </x:row>
    <x:row r="28">
      <x:c r="A28" s="227" t="str">
        <x:v>Focus Edge</x:v>
      </x:c>
      <x:c r="B28" s="228" t="str">
        <x:v>Standard</x:v>
      </x:c>
      <x:c r="C28" s="228" t="str">
        <x:v>Moves with an increased critical-hit ratio gain one additional critical-hit stage.</x:v>
      </x:c>
      <x:c r="D28" s="229" t="n">
        <x:v>7</x:v>
      </x:c>
      <x:c r="E28" s="229" t="n">
        <x:v>1</x:v>
      </x:c>
      <x:c r="F28" s="230" t="str">
        <x:v>Reusable core ability; intentionally simple and broadly shareable.</x:v>
      </x:c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  <x:c r="R28" s="176"/>
      <x:c r="S28" s="176"/>
      <x:c r="T28" s="176"/>
      <x:c r="U28" s="176"/>
      <x:c r="V28" s="176"/>
      <x:c r="W28" s="176"/>
      <x:c r="X28" s="176"/>
    </x:row>
    <x:row r="29">
      <x:c r="A29" s="227" t="str">
        <x:v>Forager</x:v>
      </x:c>
      <x:c r="B29" s="228" t="str">
        <x:v>Standard</x:v>
      </x:c>
      <x:c r="C29" s="228" t="str">
        <x:v>Whenever this monster consumes a Berry, it also restores 1/16 of its maximum HP.</x:v>
      </x:c>
      <x:c r="D29" s="229" t="n">
        <x:v>10</x:v>
      </x:c>
      <x:c r="E29" s="229" t="n">
        <x:v>0</x:v>
      </x:c>
      <x:c r="F29" s="230" t="str">
        <x:v>Reusable core ability; intentionally simple and broadly shareable.</x:v>
      </x:c>
      <x:c r="G29" s="176"/>
      <x:c r="H29" s="176"/>
      <x:c r="I29" s="176"/>
      <x:c r="J29" s="176"/>
      <x:c r="K29" s="176"/>
      <x:c r="L29" s="176"/>
      <x:c r="M29" s="176"/>
      <x:c r="N29" s="176"/>
      <x:c r="O29" s="176"/>
      <x:c r="P29" s="176"/>
      <x:c r="Q29" s="176"/>
      <x:c r="R29" s="176"/>
      <x:c r="S29" s="176"/>
      <x:c r="T29" s="176"/>
      <x:c r="U29" s="176"/>
      <x:c r="V29" s="176"/>
      <x:c r="W29" s="176"/>
      <x:c r="X29" s="176"/>
    </x:row>
    <x:row r="30">
      <x:c r="A30" s="227" t="str">
        <x:v>Foresight</x:v>
      </x:c>
      <x:c r="B30" s="228" t="str">
        <x:v>Standard</x:v>
      </x:c>
      <x:c r="C30" s="228" t="str">
        <x:v>The first super-effective hit taken after entering battle is reduced by 20%.</x:v>
      </x:c>
      <x:c r="D30" s="229" t="n">
        <x:v>25</x:v>
      </x:c>
      <x:c r="E30" s="229" t="n">
        <x:v>9</x:v>
      </x:c>
      <x:c r="F30" s="230" t="str">
        <x:v>Reusable core ability; intentionally simple and broadly shareable.</x:v>
      </x:c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  <x:c r="R30" s="176"/>
      <x:c r="S30" s="176"/>
      <x:c r="T30" s="176"/>
      <x:c r="U30" s="176"/>
      <x:c r="V30" s="176"/>
      <x:c r="W30" s="176"/>
      <x:c r="X30" s="176"/>
    </x:row>
    <x:row r="31">
      <x:c r="A31" s="227" t="str">
        <x:v>Gatekeeper</x:v>
      </x:c>
      <x:c r="B31" s="228" t="str">
        <x:v>Rare</x:v>
      </x:c>
      <x:c r="C31" s="228" t="str">
        <x:v>If this monster enters as the last conscious member of its party, Defense and Sp. Def each rise by 1 stage.</x:v>
      </x:c>
      <x:c r="D31" s="229" t="n">
        <x:v>5</x:v>
      </x:c>
      <x:c r="E31" s="229" t="n">
        <x:v>5</x:v>
      </x:c>
      <x:c r="F31" s="230" t="str">
        <x:v>Stronger/specialised reusable effect; assign sparingly.</x:v>
      </x:c>
      <x:c r="G31" s="176"/>
      <x:c r="H31" s="176"/>
      <x:c r="I31" s="176"/>
      <x:c r="J31" s="176"/>
      <x:c r="K31" s="176"/>
      <x:c r="L31" s="176"/>
      <x:c r="M31" s="176"/>
      <x:c r="N31" s="176"/>
      <x:c r="O31" s="176"/>
      <x:c r="P31" s="176"/>
      <x:c r="Q31" s="176"/>
      <x:c r="R31" s="176"/>
      <x:c r="S31" s="176"/>
      <x:c r="T31" s="176"/>
      <x:c r="U31" s="176"/>
      <x:c r="V31" s="176"/>
      <x:c r="W31" s="176"/>
      <x:c r="X31" s="176"/>
    </x:row>
    <x:row r="32">
      <x:c r="A32" s="227" t="str">
        <x:v>Ghost Hull</x:v>
      </x:c>
      <x:c r="B32" s="228" t="str">
        <x:v>Rare</x:v>
      </x:c>
      <x:c r="C32" s="228" t="str">
        <x:v>Once per battle, if at full HP, a hit that would knock this monster out leaves it at 1 HP instead.</x:v>
      </x:c>
      <x:c r="D32" s="229" t="n">
        <x:v>2</x:v>
      </x:c>
      <x:c r="E32" s="229" t="n">
        <x:v>2</x:v>
      </x:c>
      <x:c r="F32" s="230" t="str">
        <x:v>Stronger/specialised reusable effect; assign sparingly.</x:v>
      </x:c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  <x:c r="R32" s="176"/>
      <x:c r="S32" s="176"/>
      <x:c r="T32" s="176"/>
      <x:c r="U32" s="176"/>
      <x:c r="V32" s="176"/>
      <x:c r="W32" s="176"/>
      <x:c r="X32" s="176"/>
    </x:row>
    <x:row r="33">
      <x:c r="A33" s="227" t="str">
        <x:v>Hard Head</x:v>
      </x:c>
      <x:c r="B33" s="228" t="str">
        <x:v>Standard</x:v>
      </x:c>
      <x:c r="C33" s="228" t="str">
        <x:v>This monster takes no recoil damage from its own attacks.</x:v>
      </x:c>
      <x:c r="D33" s="229" t="n">
        <x:v>13</x:v>
      </x:c>
      <x:c r="E33" s="229" t="n">
        <x:v>2</x:v>
      </x:c>
      <x:c r="F33" s="230" t="str">
        <x:v>Reusable core ability; intentionally simple and broadly shareable.</x:v>
      </x:c>
      <x:c r="G33" s="176"/>
      <x:c r="H33" s="176"/>
      <x:c r="I33" s="176"/>
      <x:c r="J33" s="176"/>
      <x:c r="K33" s="176"/>
      <x:c r="L33" s="176"/>
      <x:c r="M33" s="176"/>
      <x:c r="N33" s="176"/>
      <x:c r="O33" s="176"/>
      <x:c r="P33" s="176"/>
      <x:c r="Q33" s="176"/>
      <x:c r="R33" s="176"/>
      <x:c r="S33" s="176"/>
      <x:c r="T33" s="176"/>
      <x:c r="U33" s="176"/>
      <x:c r="V33" s="176"/>
      <x:c r="W33" s="176"/>
      <x:c r="X33" s="176"/>
    </x:row>
    <x:row r="34">
      <x:c r="A34" s="227" t="str">
        <x:v>Heartwood Core</x:v>
      </x:c>
      <x:c r="B34" s="228" t="str">
        <x:v>Rare</x:v>
      </x:c>
      <x:c r="C34" s="228" t="str">
        <x:v>Once per battle, when HP falls to one-third or less, this monster restores 25% of its maximum HP.</x:v>
      </x:c>
      <x:c r="D34" s="229" t="n">
        <x:v>2</x:v>
      </x:c>
      <x:c r="E34" s="229" t="n">
        <x:v>2</x:v>
      </x:c>
      <x:c r="F34" s="230" t="str">
        <x:v>Stronger/specialised reusable effect; assign sparingly.</x:v>
      </x:c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  <x:c r="R34" s="176"/>
      <x:c r="S34" s="176"/>
      <x:c r="T34" s="176"/>
      <x:c r="U34" s="176"/>
      <x:c r="V34" s="176"/>
      <x:c r="W34" s="176"/>
      <x:c r="X34" s="176"/>
    </x:row>
    <x:row r="35">
      <x:c r="A35" s="227" t="str">
        <x:v>Hovercore</x:v>
      </x:c>
      <x:c r="B35" s="228" t="str">
        <x:v>Rare</x:v>
      </x:c>
      <x:c r="C35" s="228" t="str">
        <x:v>Ground-type moves do not affect this monster.</x:v>
      </x:c>
      <x:c r="D35" s="229" t="n">
        <x:v>2</x:v>
      </x:c>
      <x:c r="E35" s="229" t="n">
        <x:v>2</x:v>
      </x:c>
      <x:c r="F35" s="230" t="str">
        <x:v>Stronger/specialised reusable effect; assign sparingly.</x:v>
      </x:c>
      <x:c r="G35" s="176"/>
      <x:c r="H35" s="176"/>
      <x:c r="I35" s="176"/>
      <x:c r="J35" s="176"/>
      <x:c r="K35" s="176"/>
      <x:c r="L35" s="176"/>
      <x:c r="M35" s="176"/>
      <x:c r="N35" s="176"/>
      <x:c r="O35" s="176"/>
      <x:c r="P35" s="176"/>
      <x:c r="Q35" s="176"/>
      <x:c r="R35" s="176"/>
      <x:c r="S35" s="176"/>
      <x:c r="T35" s="176"/>
      <x:c r="U35" s="176"/>
      <x:c r="V35" s="176"/>
      <x:c r="W35" s="176"/>
      <x:c r="X35" s="176"/>
    </x:row>
    <x:row r="36">
      <x:c r="A36" s="227" t="str">
        <x:v>Improviser</x:v>
      </x:c>
      <x:c r="B36" s="228" t="str">
        <x:v>Signature</x:v>
      </x:c>
      <x:c r="C36" s="228" t="str">
        <x:v>A damaging move deals 15% more damage when it is a different type from this monster's previous damaging move.</x:v>
      </x:c>
      <x:c r="D36" s="229" t="n">
        <x:v>3</x:v>
      </x:c>
      <x:c r="E36" s="229" t="n">
        <x:v>3</x:v>
      </x:c>
      <x:c r="F36" s="230" t="str">
        <x:v>Defining bespoke mechanic; keep implementation and tuning isolated.</x:v>
      </x:c>
      <x:c r="G36" s="176"/>
      <x:c r="H36" s="176"/>
      <x:c r="I36" s="176"/>
      <x:c r="J36" s="176"/>
      <x:c r="K36" s="176"/>
      <x:c r="L36" s="176"/>
      <x:c r="M36" s="176"/>
      <x:c r="N36" s="176"/>
      <x:c r="O36" s="176"/>
      <x:c r="P36" s="176"/>
      <x:c r="Q36" s="176"/>
      <x:c r="R36" s="176"/>
      <x:c r="S36" s="176"/>
      <x:c r="T36" s="176"/>
      <x:c r="U36" s="176"/>
      <x:c r="V36" s="176"/>
      <x:c r="W36" s="176"/>
      <x:c r="X36" s="176"/>
    </x:row>
    <x:row r="37">
      <x:c r="A37" s="227" t="str">
        <x:v>Keen Sense</x:v>
      </x:c>
      <x:c r="B37" s="228" t="str">
        <x:v>Standard</x:v>
      </x:c>
      <x:c r="C37" s="228" t="str">
        <x:v>Opponents cannot lower this monster's accuracy.</x:v>
      </x:c>
      <x:c r="D37" s="229" t="n">
        <x:v>20</x:v>
      </x:c>
      <x:c r="E37" s="229" t="n">
        <x:v>2</x:v>
      </x:c>
      <x:c r="F37" s="230" t="str">
        <x:v>Reusable core ability; intentionally simple and broadly shareable.</x:v>
      </x:c>
      <x:c r="G37" s="176"/>
      <x:c r="H37" s="176"/>
      <x:c r="I37" s="176"/>
      <x:c r="J37" s="176"/>
      <x:c r="K37" s="176"/>
      <x:c r="L37" s="176"/>
      <x:c r="M37" s="176"/>
      <x:c r="N37" s="176"/>
      <x:c r="O37" s="176"/>
      <x:c r="P37" s="176"/>
      <x:c r="Q37" s="176"/>
      <x:c r="R37" s="176"/>
      <x:c r="S37" s="176"/>
      <x:c r="T37" s="176"/>
      <x:c r="U37" s="176"/>
      <x:c r="V37" s="176"/>
      <x:c r="W37" s="176"/>
      <x:c r="X37" s="176"/>
    </x:row>
    <x:row r="38">
      <x:c r="A38" s="227" t="str">
        <x:v>Last Stand</x:v>
      </x:c>
      <x:c r="B38" s="228" t="str">
        <x:v>Rare</x:v>
      </x:c>
      <x:c r="C38" s="228" t="str">
        <x:v>If this monster enters as the last conscious party member, Attack and Speed each rise by 1 stage.</x:v>
      </x:c>
      <x:c r="D38" s="229" t="n">
        <x:v>3</x:v>
      </x:c>
      <x:c r="E38" s="229" t="n">
        <x:v>3</x:v>
      </x:c>
      <x:c r="F38" s="230" t="str">
        <x:v>Stronger/specialised reusable effect; assign sparingly.</x:v>
      </x:c>
      <x:c r="G38" s="176"/>
      <x:c r="H38" s="176"/>
      <x:c r="I38" s="176"/>
      <x:c r="J38" s="176"/>
      <x:c r="K38" s="176"/>
      <x:c r="L38" s="176"/>
      <x:c r="M38" s="176"/>
      <x:c r="N38" s="176"/>
      <x:c r="O38" s="176"/>
      <x:c r="P38" s="176"/>
      <x:c r="Q38" s="176"/>
      <x:c r="R38" s="176"/>
      <x:c r="S38" s="176"/>
      <x:c r="T38" s="176"/>
      <x:c r="U38" s="176"/>
      <x:c r="V38" s="176"/>
      <x:c r="W38" s="176"/>
      <x:c r="X38" s="176"/>
    </x:row>
    <x:row r="39">
      <x:c r="A39" s="227" t="str">
        <x:v>Many Banners</x:v>
      </x:c>
      <x:c r="B39" s="228" t="str">
        <x:v>Signature</x:v>
      </x:c>
      <x:c r="C39" s="228" t="str">
        <x:v>At battle start, if the party contains at least four different primary types among conscious members, this monster's Sp. Def rises by 1 stage.</x:v>
      </x:c>
      <x:c r="D39" s="229" t="n">
        <x:v>1</x:v>
      </x:c>
      <x:c r="E39" s="229" t="n">
        <x:v>1</x:v>
      </x:c>
      <x:c r="F39" s="230" t="str">
        <x:v>Defining bespoke mechanic; keep implementation and tuning isolated.</x:v>
      </x:c>
      <x:c r="G39" s="176"/>
      <x:c r="H39" s="176"/>
      <x:c r="I39" s="176"/>
      <x:c r="J39" s="176"/>
      <x:c r="K39" s="176"/>
      <x:c r="L39" s="176"/>
      <x:c r="M39" s="176"/>
      <x:c r="N39" s="176"/>
      <x:c r="O39" s="176"/>
      <x:c r="P39" s="176"/>
      <x:c r="Q39" s="176"/>
      <x:c r="R39" s="176"/>
      <x:c r="S39" s="176"/>
      <x:c r="T39" s="176"/>
      <x:c r="U39" s="176"/>
      <x:c r="V39" s="176"/>
      <x:c r="W39" s="176"/>
      <x:c r="X39" s="176"/>
    </x:row>
    <x:row r="40">
      <x:c r="A40" s="227" t="str">
        <x:v>Marked Quarry</x:v>
      </x:c>
      <x:c r="B40" s="228" t="str">
        <x:v>Standard</x:v>
      </x:c>
      <x:c r="C40" s="228" t="str">
        <x:v>The first foe damaged by this monster after entry becomes marked. This monster deals 10% more damage to it until that foe switches out or faints.</x:v>
      </x:c>
      <x:c r="D40" s="229" t="n">
        <x:v>4</x:v>
      </x:c>
      <x:c r="E40" s="229" t="n">
        <x:v>3</x:v>
      </x:c>
      <x:c r="F40" s="230" t="str">
        <x:v>Reusable core ability; intentionally simple and broadly shareable.</x:v>
      </x:c>
      <x:c r="G40" s="176"/>
      <x:c r="H40" s="176"/>
      <x:c r="I40" s="176"/>
      <x:c r="J40" s="176"/>
      <x:c r="K40" s="176"/>
      <x:c r="L40" s="176"/>
      <x:c r="M40" s="176"/>
      <x:c r="N40" s="176"/>
      <x:c r="O40" s="176"/>
      <x:c r="P40" s="176"/>
      <x:c r="Q40" s="176"/>
      <x:c r="R40" s="176"/>
      <x:c r="S40" s="176"/>
      <x:c r="T40" s="176"/>
      <x:c r="U40" s="176"/>
      <x:c r="V40" s="176"/>
      <x:c r="W40" s="176"/>
      <x:c r="X40" s="176"/>
    </x:row>
    <x:row r="41">
      <x:c r="A41" s="227" t="str">
        <x:v>Medicinal Sap</x:v>
      </x:c>
      <x:c r="B41" s="228" t="str">
        <x:v>Standard</x:v>
      </x:c>
      <x:c r="C41" s="228" t="str">
        <x:v>HP restored by this monster's healing moves is increased by 15%.</x:v>
      </x:c>
      <x:c r="D41" s="229" t="n">
        <x:v>14</x:v>
      </x:c>
      <x:c r="E41" s="229" t="n">
        <x:v>5</x:v>
      </x:c>
      <x:c r="F41" s="230" t="str">
        <x:v>Reusable core ability; intentionally simple and broadly shareable.</x:v>
      </x:c>
      <x:c r="G41" s="176"/>
      <x:c r="H41" s="176"/>
      <x:c r="I41" s="176"/>
      <x:c r="J41" s="176"/>
      <x:c r="K41" s="176"/>
      <x:c r="L41" s="176"/>
      <x:c r="M41" s="176"/>
      <x:c r="N41" s="176"/>
      <x:c r="O41" s="176"/>
      <x:c r="P41" s="176"/>
      <x:c r="Q41" s="176"/>
      <x:c r="R41" s="176"/>
      <x:c r="S41" s="176"/>
      <x:c r="T41" s="176"/>
      <x:c r="U41" s="176"/>
      <x:c r="V41" s="176"/>
      <x:c r="W41" s="176"/>
      <x:c r="X41" s="176"/>
    </x:row>
    <x:row r="42">
      <x:c r="A42" s="227" t="str">
        <x:v>Mimic Ear</x:v>
      </x:c>
      <x:c r="B42" s="228" t="str">
        <x:v>Rare</x:v>
      </x:c>
      <x:c r="C42" s="228" t="str">
        <x:v>After this monster is hit by a sound-based move, its next sound-based move deals 50% more damage.</x:v>
      </x:c>
      <x:c r="D42" s="229" t="n">
        <x:v>3</x:v>
      </x:c>
      <x:c r="E42" s="229" t="n">
        <x:v>2</x:v>
      </x:c>
      <x:c r="F42" s="230" t="str">
        <x:v>Stronger/specialised reusable effect; assign sparingly.</x:v>
      </x:c>
      <x:c r="G42" s="176"/>
      <x:c r="H42" s="176"/>
      <x:c r="I42" s="176"/>
      <x:c r="J42" s="176"/>
      <x:c r="K42" s="176"/>
      <x:c r="L42" s="176"/>
      <x:c r="M42" s="176"/>
      <x:c r="N42" s="176"/>
      <x:c r="O42" s="176"/>
      <x:c r="P42" s="176"/>
      <x:c r="Q42" s="176"/>
      <x:c r="R42" s="176"/>
      <x:c r="S42" s="176"/>
      <x:c r="T42" s="176"/>
      <x:c r="U42" s="176"/>
      <x:c r="V42" s="176"/>
      <x:c r="W42" s="176"/>
      <x:c r="X42" s="176"/>
    </x:row>
    <x:row r="43">
      <x:c r="A43" s="227" t="str">
        <x:v>Oath Roar</x:v>
      </x:c>
      <x:c r="B43" s="228" t="str">
        <x:v>Signature</x:v>
      </x:c>
      <x:c r="C43" s="228" t="str">
        <x:v>Sound-based moves deal 20% more damage; the first sound move used after entry also raises this monster's Attack by 1 stage.</x:v>
      </x:c>
      <x:c r="D43" s="229" t="n">
        <x:v>1</x:v>
      </x:c>
      <x:c r="E43" s="229" t="n">
        <x:v>1</x:v>
      </x:c>
      <x:c r="F43" s="230" t="str">
        <x:v>Defining bespoke mechanic; keep implementation and tuning isolated.</x:v>
      </x:c>
      <x:c r="G43" s="176"/>
      <x:c r="H43" s="176"/>
      <x:c r="I43" s="176"/>
      <x:c r="J43" s="176"/>
      <x:c r="K43" s="176"/>
      <x:c r="L43" s="176"/>
      <x:c r="M43" s="176"/>
      <x:c r="N43" s="176"/>
      <x:c r="O43" s="176"/>
      <x:c r="P43" s="176"/>
      <x:c r="Q43" s="176"/>
      <x:c r="R43" s="176"/>
      <x:c r="S43" s="176"/>
      <x:c r="T43" s="176"/>
      <x:c r="U43" s="176"/>
      <x:c r="V43" s="176"/>
      <x:c r="W43" s="176"/>
      <x:c r="X43" s="176"/>
    </x:row>
    <x:row r="44">
      <x:c r="A44" s="227" t="str">
        <x:v>Oathkeeper</x:v>
      </x:c>
      <x:c r="B44" s="228" t="str">
        <x:v>Signature</x:v>
      </x:c>
      <x:c r="C44" s="228" t="str">
        <x:v>When this monster enters immediately after an ally faints, Defense and Sp. Def each rise by 1 stage.</x:v>
      </x:c>
      <x:c r="D44" s="229" t="n">
        <x:v>1</x:v>
      </x:c>
      <x:c r="E44" s="229" t="n">
        <x:v>1</x:v>
      </x:c>
      <x:c r="F44" s="230" t="str">
        <x:v>Defining bespoke mechanic; keep implementation and tuning isolated.</x:v>
      </x:c>
      <x:c r="G44" s="176"/>
      <x:c r="H44" s="176"/>
      <x:c r="I44" s="176"/>
      <x:c r="J44" s="176"/>
      <x:c r="K44" s="176"/>
      <x:c r="L44" s="176"/>
      <x:c r="M44" s="176"/>
      <x:c r="N44" s="176"/>
      <x:c r="O44" s="176"/>
      <x:c r="P44" s="176"/>
      <x:c r="Q44" s="176"/>
      <x:c r="R44" s="176"/>
      <x:c r="S44" s="176"/>
      <x:c r="T44" s="176"/>
      <x:c r="U44" s="176"/>
      <x:c r="V44" s="176"/>
      <x:c r="W44" s="176"/>
      <x:c r="X44" s="176"/>
    </x:row>
    <x:row r="45">
      <x:c r="A45" s="227" t="str">
        <x:v>Opportunist</x:v>
      </x:c>
      <x:c r="B45" s="228" t="str">
        <x:v>Standard</x:v>
      </x:c>
      <x:c r="C45" s="228" t="str">
        <x:v>Damaging moves deal 15% more damage to targets at half HP or less.</x:v>
      </x:c>
      <x:c r="D45" s="229" t="n">
        <x:v>7</x:v>
      </x:c>
      <x:c r="E45" s="229" t="n">
        <x:v>6</x:v>
      </x:c>
      <x:c r="F45" s="230" t="str">
        <x:v>Reusable core ability; intentionally simple and broadly shareable.</x:v>
      </x:c>
      <x:c r="G45" s="176"/>
      <x:c r="H45" s="176"/>
      <x:c r="I45" s="176"/>
      <x:c r="J45" s="176"/>
      <x:c r="K45" s="176"/>
      <x:c r="L45" s="176"/>
      <x:c r="M45" s="176"/>
      <x:c r="N45" s="176"/>
      <x:c r="O45" s="176"/>
      <x:c r="P45" s="176"/>
      <x:c r="Q45" s="176"/>
      <x:c r="R45" s="176"/>
      <x:c r="S45" s="176"/>
      <x:c r="T45" s="176"/>
      <x:c r="U45" s="176"/>
      <x:c r="V45" s="176"/>
      <x:c r="W45" s="176"/>
      <x:c r="X45" s="176"/>
    </x:row>
    <x:row r="46">
      <x:c r="A46" s="227" t="str">
        <x:v>Pack Guard</x:v>
      </x:c>
      <x:c r="B46" s="228" t="str">
        <x:v>Standard</x:v>
      </x:c>
      <x:c r="C46" s="228" t="str">
        <x:v>Damage taken is reduced by 10% while at least one other conscious party member remains.</x:v>
      </x:c>
      <x:c r="D46" s="229" t="n">
        <x:v>3</x:v>
      </x:c>
      <x:c r="E46" s="229" t="n">
        <x:v>0</x:v>
      </x:c>
      <x:c r="F46" s="230" t="str">
        <x:v>Reusable core ability; intentionally simple and broadly shareable.</x:v>
      </x:c>
      <x:c r="G46" s="176"/>
      <x:c r="H46" s="176"/>
      <x:c r="I46" s="176"/>
      <x:c r="J46" s="176"/>
      <x:c r="K46" s="176"/>
      <x:c r="L46" s="176"/>
      <x:c r="M46" s="176"/>
      <x:c r="N46" s="176"/>
      <x:c r="O46" s="176"/>
      <x:c r="P46" s="176"/>
      <x:c r="Q46" s="176"/>
      <x:c r="R46" s="176"/>
      <x:c r="S46" s="176"/>
      <x:c r="T46" s="176"/>
      <x:c r="U46" s="176"/>
      <x:c r="V46" s="176"/>
      <x:c r="W46" s="176"/>
      <x:c r="X46" s="176"/>
    </x:row>
    <x:row r="47">
      <x:c r="A47" s="227" t="str">
        <x:v>Palimpsest</x:v>
      </x:c>
      <x:c r="B47" s="228" t="str">
        <x:v>Rare</x:v>
      </x:c>
      <x:c r="C47" s="228" t="str">
        <x:v>After being hit by a damaging move, further hits from that same named move deal 25% less damage until this monster switches out.</x:v>
      </x:c>
      <x:c r="D47" s="229" t="n">
        <x:v>3</x:v>
      </x:c>
      <x:c r="E47" s="229" t="n">
        <x:v>3</x:v>
      </x:c>
      <x:c r="F47" s="230" t="str">
        <x:v>Stronger/specialised reusable effect; assign sparingly.</x:v>
      </x:c>
      <x:c r="G47" s="176"/>
      <x:c r="H47" s="176"/>
      <x:c r="I47" s="176"/>
      <x:c r="J47" s="176"/>
      <x:c r="K47" s="176"/>
      <x:c r="L47" s="176"/>
      <x:c r="M47" s="176"/>
      <x:c r="N47" s="176"/>
      <x:c r="O47" s="176"/>
      <x:c r="P47" s="176"/>
      <x:c r="Q47" s="176"/>
      <x:c r="R47" s="176"/>
      <x:c r="S47" s="176"/>
      <x:c r="T47" s="176"/>
      <x:c r="U47" s="176"/>
      <x:c r="V47" s="176"/>
      <x:c r="W47" s="176"/>
      <x:c r="X47" s="176"/>
    </x:row>
    <x:row r="48">
      <x:c r="A48" s="227" t="str">
        <x:v>Patience</x:v>
      </x:c>
      <x:c r="B48" s="228" t="str">
        <x:v>Standard</x:v>
      </x:c>
      <x:c r="C48" s="228" t="str">
        <x:v>After a turn in which this monster deals no damage, its next damaging move deals 20% more damage.</x:v>
      </x:c>
      <x:c r="D48" s="229" t="n">
        <x:v>8</x:v>
      </x:c>
      <x:c r="E48" s="229" t="n">
        <x:v>2</x:v>
      </x:c>
      <x:c r="F48" s="230" t="str">
        <x:v>Reusable core ability; intentionally simple and broadly shareable.</x:v>
      </x:c>
      <x:c r="G48" s="176"/>
      <x:c r="H48" s="176"/>
      <x:c r="I48" s="176"/>
      <x:c r="J48" s="176"/>
      <x:c r="K48" s="176"/>
      <x:c r="L48" s="176"/>
      <x:c r="M48" s="176"/>
      <x:c r="N48" s="176"/>
      <x:c r="O48" s="176"/>
      <x:c r="P48" s="176"/>
      <x:c r="Q48" s="176"/>
      <x:c r="R48" s="176"/>
      <x:c r="S48" s="176"/>
      <x:c r="T48" s="176"/>
      <x:c r="U48" s="176"/>
      <x:c r="V48" s="176"/>
      <x:c r="W48" s="176"/>
      <x:c r="X48" s="176"/>
    </x:row>
    <x:row r="49">
      <x:c r="A49" s="227" t="str">
        <x:v>Poison Barbs</x:v>
      </x:c>
      <x:c r="B49" s="228" t="str">
        <x:v>Standard</x:v>
      </x:c>
      <x:c r="C49" s="228" t="str">
        <x:v>A foe making contact has a 20% chance to be poisoned.</x:v>
      </x:c>
      <x:c r="D49" s="229" t="n">
        <x:v>10</x:v>
      </x:c>
      <x:c r="E49" s="229" t="n">
        <x:v>1</x:v>
      </x:c>
      <x:c r="F49" s="230" t="str">
        <x:v>Reusable core ability; intentionally simple and broadly shareable.</x:v>
      </x:c>
      <x:c r="G49" s="176"/>
      <x:c r="H49" s="176"/>
      <x:c r="I49" s="176"/>
      <x:c r="J49" s="176"/>
      <x:c r="K49" s="176"/>
      <x:c r="L49" s="176"/>
      <x:c r="M49" s="176"/>
      <x:c r="N49" s="176"/>
      <x:c r="O49" s="176"/>
      <x:c r="P49" s="176"/>
      <x:c r="Q49" s="176"/>
      <x:c r="R49" s="176"/>
      <x:c r="S49" s="176"/>
      <x:c r="T49" s="176"/>
      <x:c r="U49" s="176"/>
      <x:c r="V49" s="176"/>
      <x:c r="W49" s="176"/>
      <x:c r="X49" s="176"/>
    </x:row>
    <x:row r="50">
      <x:c r="A50" s="227" t="str">
        <x:v>Proof by Cut</x:v>
      </x:c>
      <x:c r="B50" s="228" t="str">
        <x:v>Signature</x:v>
      </x:c>
      <x:c r="C50" s="228" t="str">
        <x:v>After two consecutive damaging moves hit, this monster's next damaging move gains one extra critical-hit stage. Missing or switching resets the count.</x:v>
      </x:c>
      <x:c r="D50" s="229" t="n">
        <x:v>3</x:v>
      </x:c>
      <x:c r="E50" s="229" t="n">
        <x:v>3</x:v>
      </x:c>
      <x:c r="F50" s="230" t="str">
        <x:v>Defining bespoke mechanic; keep implementation and tuning isolated.</x:v>
      </x:c>
      <x:c r="G50" s="176"/>
      <x:c r="H50" s="176"/>
      <x:c r="I50" s="176"/>
      <x:c r="J50" s="176"/>
      <x:c r="K50" s="176"/>
      <x:c r="L50" s="176"/>
      <x:c r="M50" s="176"/>
      <x:c r="N50" s="176"/>
      <x:c r="O50" s="176"/>
      <x:c r="P50" s="176"/>
      <x:c r="Q50" s="176"/>
      <x:c r="R50" s="176"/>
      <x:c r="S50" s="176"/>
      <x:c r="T50" s="176"/>
      <x:c r="U50" s="176"/>
      <x:c r="V50" s="176"/>
      <x:c r="W50" s="176"/>
      <x:c r="X50" s="176"/>
    </x:row>
    <x:row r="51">
      <x:c r="A51" s="227" t="str">
        <x:v>Protector</x:v>
      </x:c>
      <x:c r="B51" s="228" t="str">
        <x:v>Standard</x:v>
      </x:c>
      <x:c r="C51" s="228" t="str">
        <x:v>When this monster enters immediately after an ally faints, Defense rises by 1 stage.</x:v>
      </x:c>
      <x:c r="D51" s="229" t="n">
        <x:v>18</x:v>
      </x:c>
      <x:c r="E51" s="229" t="n">
        <x:v>6</x:v>
      </x:c>
      <x:c r="F51" s="230" t="str">
        <x:v>Reusable core ability; intentionally simple and broadly shareable.</x:v>
      </x:c>
      <x:c r="G51" s="176"/>
      <x:c r="H51" s="176"/>
      <x:c r="I51" s="176"/>
      <x:c r="J51" s="176"/>
      <x:c r="K51" s="176"/>
      <x:c r="L51" s="176"/>
      <x:c r="M51" s="176"/>
      <x:c r="N51" s="176"/>
      <x:c r="O51" s="176"/>
      <x:c r="P51" s="176"/>
      <x:c r="Q51" s="176"/>
      <x:c r="R51" s="176"/>
      <x:c r="S51" s="176"/>
      <x:c r="T51" s="176"/>
      <x:c r="U51" s="176"/>
      <x:c r="V51" s="176"/>
      <x:c r="W51" s="176"/>
      <x:c r="X51" s="176"/>
    </x:row>
    <x:row r="52">
      <x:c r="A52" s="227" t="str">
        <x:v>Pursuit Instinct</x:v>
      </x:c>
      <x:c r="B52" s="228" t="str">
        <x:v>Standard</x:v>
      </x:c>
      <x:c r="C52" s="228" t="str">
        <x:v>If the target attempts to switch out that turn, this monster's damaging move against it deals 30% more damage.</x:v>
      </x:c>
      <x:c r="D52" s="229" t="n">
        <x:v>3</x:v>
      </x:c>
      <x:c r="E52" s="229" t="n">
        <x:v>0</x:v>
      </x:c>
      <x:c r="F52" s="230" t="str">
        <x:v>Reusable core ability; intentionally simple and broadly shareable.</x:v>
      </x:c>
      <x:c r="G52" s="176"/>
      <x:c r="H52" s="176"/>
      <x:c r="I52" s="176"/>
      <x:c r="J52" s="176"/>
      <x:c r="K52" s="176"/>
      <x:c r="L52" s="176"/>
      <x:c r="M52" s="176"/>
      <x:c r="N52" s="176"/>
      <x:c r="O52" s="176"/>
      <x:c r="P52" s="176"/>
      <x:c r="Q52" s="176"/>
      <x:c r="R52" s="176"/>
      <x:c r="S52" s="176"/>
      <x:c r="T52" s="176"/>
      <x:c r="U52" s="176"/>
      <x:c r="V52" s="176"/>
      <x:c r="W52" s="176"/>
      <x:c r="X52" s="176"/>
    </x:row>
    <x:row r="53">
      <x:c r="A53" s="227" t="str">
        <x:v>Rainrunner</x:v>
      </x:c>
      <x:c r="B53" s="228" t="str">
        <x:v>Standard</x:v>
      </x:c>
      <x:c r="C53" s="228" t="str">
        <x:v>Speed is increased by 50% while rain is active.</x:v>
      </x:c>
      <x:c r="D53" s="229" t="n">
        <x:v>4</x:v>
      </x:c>
      <x:c r="E53" s="229" t="n">
        <x:v>0</x:v>
      </x:c>
      <x:c r="F53" s="230" t="str">
        <x:v>Reusable core ability; intentionally simple and broadly shareable.</x:v>
      </x:c>
      <x:c r="G53" s="176"/>
      <x:c r="H53" s="176"/>
      <x:c r="I53" s="176"/>
      <x:c r="J53" s="176"/>
      <x:c r="K53" s="176"/>
      <x:c r="L53" s="176"/>
      <x:c r="M53" s="176"/>
      <x:c r="N53" s="176"/>
      <x:c r="O53" s="176"/>
      <x:c r="P53" s="176"/>
      <x:c r="Q53" s="176"/>
      <x:c r="R53" s="176"/>
      <x:c r="S53" s="176"/>
      <x:c r="T53" s="176"/>
      <x:c r="U53" s="176"/>
      <x:c r="V53" s="176"/>
      <x:c r="W53" s="176"/>
      <x:c r="X53" s="176"/>
    </x:row>
    <x:row r="54">
      <x:c r="A54" s="227" t="str">
        <x:v>Rallying Cry</x:v>
      </x:c>
      <x:c r="B54" s="228" t="str">
        <x:v>Standard</x:v>
      </x:c>
      <x:c r="C54" s="228" t="str">
        <x:v>Opponents cannot lower this monster's Attack; in multi-mon battles, active allies receive the same protection.</x:v>
      </x:c>
      <x:c r="D54" s="229" t="n">
        <x:v>14</x:v>
      </x:c>
      <x:c r="E54" s="229" t="n">
        <x:v>8</x:v>
      </x:c>
      <x:c r="F54" s="230" t="str">
        <x:v>Reusable core ability; intentionally simple and broadly shareable.</x:v>
      </x:c>
      <x:c r="G54" s="176"/>
      <x:c r="H54" s="176"/>
      <x:c r="I54" s="176"/>
      <x:c r="J54" s="176"/>
      <x:c r="K54" s="176"/>
      <x:c r="L54" s="176"/>
      <x:c r="M54" s="176"/>
      <x:c r="N54" s="176"/>
      <x:c r="O54" s="176"/>
      <x:c r="P54" s="176"/>
      <x:c r="Q54" s="176"/>
      <x:c r="R54" s="176"/>
      <x:c r="S54" s="176"/>
      <x:c r="T54" s="176"/>
      <x:c r="U54" s="176"/>
      <x:c r="V54" s="176"/>
      <x:c r="W54" s="176"/>
      <x:c r="X54" s="176"/>
    </x:row>
    <x:row r="55">
      <x:c r="A55" s="227" t="str">
        <x:v>Renewal</x:v>
      </x:c>
      <x:c r="B55" s="228" t="str">
        <x:v>Standard</x:v>
      </x:c>
      <x:c r="C55" s="228" t="str">
        <x:v>This monster's non-volatile status condition is cured when it switches out.</x:v>
      </x:c>
      <x:c r="D55" s="229" t="n">
        <x:v>13</x:v>
      </x:c>
      <x:c r="E55" s="229" t="n">
        <x:v>1</x:v>
      </x:c>
      <x:c r="F55" s="230" t="str">
        <x:v>Reusable core ability; intentionally simple and broadly shareable.</x:v>
      </x:c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  <x:c r="S55" s="176"/>
      <x:c r="T55" s="176"/>
      <x:c r="U55" s="176"/>
      <x:c r="V55" s="176"/>
      <x:c r="W55" s="176"/>
      <x:c r="X55" s="176"/>
    </x:row>
    <x:row r="56">
      <x:c r="A56" s="227" t="str">
        <x:v>Reservoir</x:v>
      </x:c>
      <x:c r="B56" s="228" t="str">
        <x:v>Rare</x:v>
      </x:c>
      <x:c r="C56" s="228" t="str">
        <x:v>Water-type moves deal no damage to this monster and instead restore 25% of its maximum HP.</x:v>
      </x:c>
      <x:c r="D56" s="229" t="n">
        <x:v>5</x:v>
      </x:c>
      <x:c r="E56" s="229" t="n">
        <x:v>1</x:v>
      </x:c>
      <x:c r="F56" s="230" t="str">
        <x:v>Stronger/specialised reusable effect; assign sparingly.</x:v>
      </x:c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  <x:c r="S56" s="176"/>
      <x:c r="T56" s="176"/>
      <x:c r="U56" s="176"/>
      <x:c r="V56" s="176"/>
      <x:c r="W56" s="176"/>
      <x:c r="X56" s="176"/>
    </x:row>
    <x:row r="57">
      <x:c r="A57" s="227" t="str">
        <x:v>Revenge Mark</x:v>
      </x:c>
      <x:c r="B57" s="228" t="str">
        <x:v>Standard</x:v>
      </x:c>
      <x:c r="C57" s="228" t="str">
        <x:v>After this monster is damaged, its next damaging move against that attacker deals 20% more damage.</x:v>
      </x:c>
      <x:c r="D57" s="229" t="n">
        <x:v>3</x:v>
      </x:c>
      <x:c r="E57" s="229" t="n">
        <x:v>1</x:v>
      </x:c>
      <x:c r="F57" s="230" t="str">
        <x:v>Reusable core ability; intentionally simple and broadly shareable.</x:v>
      </x:c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  <x:c r="S57" s="176"/>
      <x:c r="T57" s="176"/>
      <x:c r="U57" s="176"/>
      <x:c r="V57" s="176"/>
      <x:c r="W57" s="176"/>
      <x:c r="X57" s="176"/>
    </x:row>
    <x:row r="58">
      <x:c r="A58" s="227" t="str">
        <x:v>Royal Glare</x:v>
      </x:c>
      <x:c r="B58" s="228" t="str">
        <x:v>Signature</x:v>
      </x:c>
      <x:c r="C58" s="228" t="str">
        <x:v>When this monster enters battle, the opposing active monster's Speed falls by 1 stage.</x:v>
      </x:c>
      <x:c r="D58" s="229" t="n">
        <x:v>1</x:v>
      </x:c>
      <x:c r="E58" s="229" t="n">
        <x:v>1</x:v>
      </x:c>
      <x:c r="F58" s="230" t="str">
        <x:v>Defining bespoke mechanic; keep implementation and tuning isolated.</x:v>
      </x:c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  <x:c r="S58" s="176"/>
      <x:c r="T58" s="176"/>
      <x:c r="U58" s="176"/>
      <x:c r="V58" s="176"/>
      <x:c r="W58" s="176"/>
      <x:c r="X58" s="176"/>
    </x:row>
    <x:row r="59">
      <x:c r="A59" s="227" t="str">
        <x:v>Safekeep</x:v>
      </x:c>
      <x:c r="B59" s="228" t="str">
        <x:v>Standard</x:v>
      </x:c>
      <x:c r="C59" s="228" t="str">
        <x:v>This monster's held item cannot be removed, stolen or swapped by an opponent.</x:v>
      </x:c>
      <x:c r="D59" s="229" t="n">
        <x:v>22</x:v>
      </x:c>
      <x:c r="E59" s="229" t="n">
        <x:v>2</x:v>
      </x:c>
      <x:c r="F59" s="230" t="str">
        <x:v>Reusable core ability; intentionally simple and broadly shareable.</x:v>
      </x:c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  <x:c r="S59" s="176"/>
      <x:c r="T59" s="176"/>
      <x:c r="U59" s="176"/>
      <x:c r="V59" s="176"/>
      <x:c r="W59" s="176"/>
      <x:c r="X59" s="176"/>
    </x:row>
    <x:row r="60">
      <x:c r="A60" s="227" t="str">
        <x:v>Sandcoat</x:v>
      </x:c>
      <x:c r="B60" s="228" t="str">
        <x:v>Standard</x:v>
      </x:c>
      <x:c r="C60" s="228" t="str">
        <x:v>This monster takes no damage from sandstorm weather.</x:v>
      </x:c>
      <x:c r="D60" s="229" t="n">
        <x:v>5</x:v>
      </x:c>
      <x:c r="E60" s="229" t="n">
        <x:v>1</x:v>
      </x:c>
      <x:c r="F60" s="230" t="str">
        <x:v>Reusable core ability; intentionally simple and broadly shareable.</x:v>
      </x:c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  <x:c r="S60" s="176"/>
      <x:c r="T60" s="176"/>
      <x:c r="U60" s="176"/>
      <x:c r="V60" s="176"/>
      <x:c r="W60" s="176"/>
      <x:c r="X60" s="176"/>
    </x:row>
    <x:row r="61">
      <x:c r="A61" s="227" t="str">
        <x:v>Scavenger</x:v>
      </x:c>
      <x:c r="B61" s="228" t="str">
        <x:v>Standard</x:v>
      </x:c>
      <x:c r="C61" s="228" t="str">
        <x:v>Once per battle, after an opposing monster faints, this monster restores a Berry it previously consumed if it is holding no item.</x:v>
      </x:c>
      <x:c r="D61" s="229" t="n">
        <x:v>6</x:v>
      </x:c>
      <x:c r="E61" s="229" t="n">
        <x:v>2</x:v>
      </x:c>
      <x:c r="F61" s="230" t="str">
        <x:v>Reusable core ability; intentionally simple and broadly shareable.</x:v>
      </x:c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  <x:c r="S61" s="176"/>
      <x:c r="T61" s="176"/>
      <x:c r="U61" s="176"/>
      <x:c r="V61" s="176"/>
      <x:c r="W61" s="176"/>
      <x:c r="X61" s="176"/>
    </x:row>
    <x:row r="62">
      <x:c r="A62" s="227" t="str">
        <x:v>Screenmender</x:v>
      </x:c>
      <x:c r="B62" s="228" t="str">
        <x:v>Rare</x:v>
      </x:c>
      <x:c r="C62" s="228" t="str">
        <x:v>Reflect and Light Screen created by this monster last two additional turns.</x:v>
      </x:c>
      <x:c r="D62" s="229" t="n">
        <x:v>3</x:v>
      </x:c>
      <x:c r="E62" s="229" t="n">
        <x:v>3</x:v>
      </x:c>
      <x:c r="F62" s="230" t="str">
        <x:v>Stronger/specialised reusable effect; assign sparingly.</x:v>
      </x:c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  <x:c r="S62" s="176"/>
      <x:c r="T62" s="176"/>
      <x:c r="U62" s="176"/>
      <x:c r="V62" s="176"/>
      <x:c r="W62" s="176"/>
      <x:c r="X62" s="176"/>
    </x:row>
    <x:row r="63">
      <x:c r="A63" s="227" t="str">
        <x:v>Septic Hunger</x:v>
      </x:c>
      <x:c r="B63" s="228" t="str">
        <x:v>Signature</x:v>
      </x:c>
      <x:c r="C63" s="228" t="str">
        <x:v>Damaging moves deal 20% more damage to poisoned or badly poisoned targets.</x:v>
      </x:c>
      <x:c r="D63" s="229" t="n">
        <x:v>3</x:v>
      </x:c>
      <x:c r="E63" s="229" t="n">
        <x:v>3</x:v>
      </x:c>
      <x:c r="F63" s="230" t="str">
        <x:v>Defining bespoke mechanic; keep implementation and tuning isolated.</x:v>
      </x:c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  <x:c r="S63" s="176"/>
      <x:c r="T63" s="176"/>
      <x:c r="U63" s="176"/>
      <x:c r="V63" s="176"/>
      <x:c r="W63" s="176"/>
      <x:c r="X63" s="176"/>
    </x:row>
    <x:row r="64">
      <x:c r="A64" s="227" t="str">
        <x:v>Siege Breaker</x:v>
      </x:c>
      <x:c r="B64" s="228" t="str">
        <x:v>Standard</x:v>
      </x:c>
      <x:c r="C64" s="228" t="str">
        <x:v>After this monster deals direct damage, it removes Reflect and Light Screen from the opposing side.</x:v>
      </x:c>
      <x:c r="D64" s="229" t="n">
        <x:v>8</x:v>
      </x:c>
      <x:c r="E64" s="229" t="n">
        <x:v>6</x:v>
      </x:c>
      <x:c r="F64" s="230" t="str">
        <x:v>Reusable core ability; intentionally simple and broadly shareable.</x:v>
      </x:c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  <x:c r="S64" s="176"/>
      <x:c r="T64" s="176"/>
      <x:c r="U64" s="176"/>
      <x:c r="V64" s="176"/>
      <x:c r="W64" s="176"/>
      <x:c r="X64" s="176"/>
    </x:row>
    <x:row r="65">
      <x:c r="A65" s="227" t="str">
        <x:v>Sinmark</x:v>
      </x:c>
      <x:c r="B65" s="228" t="str">
        <x:v>Signature</x:v>
      </x:c>
      <x:c r="C65" s="228" t="str">
        <x:v>The first foe damaged after entry is marked. This monster's attacks ignore that marked foe's positive Defense and Sp. Def stat stages.</x:v>
      </x:c>
      <x:c r="D65" s="229" t="n">
        <x:v>1</x:v>
      </x:c>
      <x:c r="E65" s="229" t="n">
        <x:v>1</x:v>
      </x:c>
      <x:c r="F65" s="230" t="str">
        <x:v>Defining bespoke mechanic; keep implementation and tuning isolated.</x:v>
      </x:c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  <x:c r="S65" s="176"/>
      <x:c r="T65" s="176"/>
      <x:c r="U65" s="176"/>
      <x:c r="V65" s="176"/>
      <x:c r="W65" s="176"/>
      <x:c r="X65" s="176"/>
    </x:row>
    <x:row r="66">
      <x:c r="A66" s="227" t="str">
        <x:v>Snowfoot</x:v>
      </x:c>
      <x:c r="B66" s="228" t="str">
        <x:v>Standard</x:v>
      </x:c>
      <x:c r="C66" s="228" t="str">
        <x:v>Speed is increased by 50% while hail or snow is active.</x:v>
      </x:c>
      <x:c r="D66" s="229" t="n">
        <x:v>5</x:v>
      </x:c>
      <x:c r="E66" s="229" t="n">
        <x:v>0</x:v>
      </x:c>
      <x:c r="F66" s="230" t="str">
        <x:v>Reusable core ability; intentionally simple and broadly shareable.</x:v>
      </x:c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  <x:c r="S66" s="176"/>
      <x:c r="T66" s="176"/>
      <x:c r="U66" s="176"/>
      <x:c r="V66" s="176"/>
      <x:c r="W66" s="176"/>
      <x:c r="X66" s="176"/>
    </x:row>
    <x:row r="67">
      <x:c r="A67" s="227" t="str">
        <x:v>Soundproof</x:v>
      </x:c>
      <x:c r="B67" s="228" t="str">
        <x:v>Standard</x:v>
      </x:c>
      <x:c r="C67" s="228" t="str">
        <x:v>Sound-based moves do not affect this monster.</x:v>
      </x:c>
      <x:c r="D67" s="229" t="n">
        <x:v>7</x:v>
      </x:c>
      <x:c r="E67" s="229" t="n">
        <x:v>0</x:v>
      </x:c>
      <x:c r="F67" s="230" t="str">
        <x:v>Reusable core ability; intentionally simple and broadly shareable.</x:v>
      </x:c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  <x:c r="S67" s="176"/>
      <x:c r="T67" s="176"/>
      <x:c r="U67" s="176"/>
      <x:c r="V67" s="176"/>
      <x:c r="W67" s="176"/>
      <x:c r="X67" s="176"/>
    </x:row>
    <x:row r="68">
      <x:c r="A68" s="227" t="str">
        <x:v>Sovereign Decree</x:v>
      </x:c>
      <x:c r="B68" s="228" t="str">
        <x:v>Signature</x:v>
      </x:c>
      <x:c r="C68" s="228" t="str">
        <x:v>On entry, creates Decree for 5 turns: opponents cannot raise evasion or lower this monster's side's stats.</x:v>
      </x:c>
      <x:c r="D68" s="229" t="n">
        <x:v>1</x:v>
      </x:c>
      <x:c r="E68" s="229" t="n">
        <x:v>1</x:v>
      </x:c>
      <x:c r="F68" s="230" t="str">
        <x:v>Defining bespoke mechanic; keep implementation and tuning isolated.</x:v>
      </x:c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  <x:c r="S68" s="176"/>
      <x:c r="T68" s="176"/>
      <x:c r="U68" s="176"/>
      <x:c r="V68" s="176"/>
      <x:c r="W68" s="176"/>
      <x:c r="X68" s="176"/>
    </x:row>
    <x:row r="69">
      <x:c r="A69" s="227" t="str">
        <x:v>Stable Core</x:v>
      </x:c>
      <x:c r="B69" s="228" t="str">
        <x:v>Rare</x:v>
      </x:c>
      <x:c r="C69" s="228" t="str">
        <x:v>Opponents cannot lower any of this monster's stats.</x:v>
      </x:c>
      <x:c r="D69" s="229" t="n">
        <x:v>3</x:v>
      </x:c>
      <x:c r="E69" s="229" t="n">
        <x:v>2</x:v>
      </x:c>
      <x:c r="F69" s="230" t="str">
        <x:v>Stronger/specialised reusable effect; assign sparingly.</x:v>
      </x:c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  <x:c r="S69" s="176"/>
      <x:c r="T69" s="176"/>
      <x:c r="U69" s="176"/>
      <x:c r="V69" s="176"/>
      <x:c r="W69" s="176"/>
      <x:c r="X69" s="176"/>
    </x:row>
    <x:row r="70">
      <x:c r="A70" s="227" t="str">
        <x:v>Static Hide</x:v>
      </x:c>
      <x:c r="B70" s="228" t="str">
        <x:v>Standard</x:v>
      </x:c>
      <x:c r="C70" s="228" t="str">
        <x:v>A foe making contact has a 20% chance to be paralyzed.</x:v>
      </x:c>
      <x:c r="D70" s="229" t="n">
        <x:v>6</x:v>
      </x:c>
      <x:c r="E70" s="229" t="n">
        <x:v>0</x:v>
      </x:c>
      <x:c r="F70" s="230" t="str">
        <x:v>Reusable core ability; intentionally simple and broadly shareable.</x:v>
      </x:c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  <x:c r="S70" s="176"/>
      <x:c r="T70" s="176"/>
      <x:c r="U70" s="176"/>
      <x:c r="V70" s="176"/>
      <x:c r="W70" s="176"/>
      <x:c r="X70" s="176"/>
    </x:row>
    <x:row r="71">
      <x:c r="A71" s="227" t="str">
        <x:v>Steamheart</x:v>
      </x:c>
      <x:c r="B71" s="228" t="str">
        <x:v>Rare</x:v>
      </x:c>
      <x:c r="C71" s="228" t="str">
        <x:v>Damage from Water-type moves is halved. After being hit by one, Sp. Atk rises by 1 stage once per switch-in.</x:v>
      </x:c>
      <x:c r="D71" s="229" t="n">
        <x:v>3</x:v>
      </x:c>
      <x:c r="E71" s="229" t="n">
        <x:v>2</x:v>
      </x:c>
      <x:c r="F71" s="230" t="str">
        <x:v>Stronger/specialised reusable effect; assign sparingly.</x:v>
      </x:c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  <x:c r="S71" s="176"/>
      <x:c r="T71" s="176"/>
      <x:c r="U71" s="176"/>
      <x:c r="V71" s="176"/>
      <x:c r="W71" s="176"/>
      <x:c r="X71" s="176"/>
    </x:row>
    <x:row r="72">
      <x:c r="A72" s="227" t="str">
        <x:v>Stoneplate</x:v>
      </x:c>
      <x:c r="B72" s="228" t="str">
        <x:v>Standard</x:v>
      </x:c>
      <x:c r="C72" s="228" t="str">
        <x:v>Damage received from critical hits is reduced by 25%.</x:v>
      </x:c>
      <x:c r="D72" s="229" t="n">
        <x:v>12</x:v>
      </x:c>
      <x:c r="E72" s="229" t="n">
        <x:v>1</x:v>
      </x:c>
      <x:c r="F72" s="230" t="str">
        <x:v>Reusable core ability; intentionally simple and broadly shareable.</x:v>
      </x:c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  <x:c r="S72" s="176"/>
      <x:c r="T72" s="176"/>
      <x:c r="U72" s="176"/>
      <x:c r="V72" s="176"/>
      <x:c r="W72" s="176"/>
      <x:c r="X72" s="176"/>
    </x:row>
    <x:row r="73">
      <x:c r="A73" s="227" t="str">
        <x:v>Stored Charge</x:v>
      </x:c>
      <x:c r="B73" s="228" t="str">
        <x:v>Signature</x:v>
      </x:c>
      <x:c r="C73" s="228" t="str">
        <x:v>Contact hits give one Charge, up to 2. The next Electric- or Fighting-type damaging move consumes all Charges for +15% damage per Charge.</x:v>
      </x:c>
      <x:c r="D73" s="229" t="n">
        <x:v>3</x:v>
      </x:c>
      <x:c r="E73" s="229" t="n">
        <x:v>3</x:v>
      </x:c>
      <x:c r="F73" s="230" t="str">
        <x:v>Defining bespoke mechanic; keep implementation and tuning isolated.</x:v>
      </x:c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  <x:c r="S73" s="176"/>
      <x:c r="T73" s="176"/>
      <x:c r="U73" s="176"/>
      <x:c r="V73" s="176"/>
      <x:c r="W73" s="176"/>
      <x:c r="X73" s="176"/>
    </x:row>
    <x:row r="74">
      <x:c r="A74" s="227" t="str">
        <x:v>Stormsense</x:v>
      </x:c>
      <x:c r="B74" s="228" t="str">
        <x:v>Standard</x:v>
      </x:c>
      <x:c r="C74" s="228" t="str">
        <x:v>When the weather changes while this monster is active, Speed rises by 1 stage. Can trigger once per switch-in.</x:v>
      </x:c>
      <x:c r="D74" s="229" t="n">
        <x:v>10</x:v>
      </x:c>
      <x:c r="E74" s="229" t="n">
        <x:v>4</x:v>
      </x:c>
      <x:c r="F74" s="230" t="str">
        <x:v>Reusable core ability; intentionally simple and broadly shareable.</x:v>
      </x:c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  <x:c r="S74" s="176"/>
      <x:c r="T74" s="176"/>
      <x:c r="U74" s="176"/>
      <x:c r="V74" s="176"/>
      <x:c r="W74" s="176"/>
      <x:c r="X74" s="176"/>
    </x:row>
    <x:row r="75">
      <x:c r="A75" s="227" t="str">
        <x:v>Strategem</x:v>
      </x:c>
      <x:c r="B75" s="228" t="str">
        <x:v>Signature</x:v>
      </x:c>
      <x:c r="C75" s="228" t="str">
        <x:v>If a foe uses the same move on consecutive turns, this monster deals 15% more damage to that foe until it changes move or switches.</x:v>
      </x:c>
      <x:c r="D75" s="229" t="n">
        <x:v>1</x:v>
      </x:c>
      <x:c r="E75" s="229" t="n">
        <x:v>1</x:v>
      </x:c>
      <x:c r="F75" s="230" t="str">
        <x:v>Defining bespoke mechanic; keep implementation and tuning isolated.</x:v>
      </x:c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  <x:c r="S75" s="176"/>
      <x:c r="T75" s="176"/>
      <x:c r="U75" s="176"/>
      <x:c r="V75" s="176"/>
      <x:c r="W75" s="176"/>
      <x:c r="X75" s="176"/>
    </x:row>
    <x:row r="76">
      <x:c r="A76" s="227" t="str">
        <x:v>Sunstride</x:v>
      </x:c>
      <x:c r="B76" s="228" t="str">
        <x:v>Standard</x:v>
      </x:c>
      <x:c r="C76" s="228" t="str">
        <x:v>Speed is increased by 50% while harsh sunlight is active.</x:v>
      </x:c>
      <x:c r="D76" s="229" t="n">
        <x:v>3</x:v>
      </x:c>
      <x:c r="E76" s="229" t="n">
        <x:v>0</x:v>
      </x:c>
      <x:c r="F76" s="230" t="str">
        <x:v>Reusable core ability; intentionally simple and broadly shareable.</x:v>
      </x:c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  <x:c r="S76" s="176"/>
      <x:c r="T76" s="176"/>
      <x:c r="U76" s="176"/>
      <x:c r="V76" s="176"/>
      <x:c r="W76" s="176"/>
      <x:c r="X76" s="176"/>
    </x:row>
    <x:row r="77">
      <x:c r="A77" s="227" t="str">
        <x:v>Surefoot</x:v>
      </x:c>
      <x:c r="B77" s="228" t="str">
        <x:v>Standard</x:v>
      </x:c>
      <x:c r="C77" s="228" t="str">
        <x:v>Opponents cannot lower this monster's Speed.</x:v>
      </x:c>
      <x:c r="D77" s="229" t="n">
        <x:v>14</x:v>
      </x:c>
      <x:c r="E77" s="229" t="n">
        <x:v>6</x:v>
      </x:c>
      <x:c r="F77" s="230" t="str">
        <x:v>Reusable core ability; intentionally simple and broadly shareable.</x:v>
      </x:c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  <x:c r="S77" s="176"/>
      <x:c r="T77" s="176"/>
      <x:c r="U77" s="176"/>
      <x:c r="V77" s="176"/>
      <x:c r="W77" s="176"/>
      <x:c r="X77" s="176"/>
    </x:row>
    <x:row r="78">
      <x:c r="A78" s="227" t="str">
        <x:v>Thick Pelt</x:v>
      </x:c>
      <x:c r="B78" s="228" t="str">
        <x:v>Standard</x:v>
      </x:c>
      <x:c r="C78" s="228" t="str">
        <x:v>Damage from Fire- and Ice-type moves is reduced by 25%.</x:v>
      </x:c>
      <x:c r="D78" s="229" t="n">
        <x:v>1</x:v>
      </x:c>
      <x:c r="E78" s="229" t="n">
        <x:v>0</x:v>
      </x:c>
      <x:c r="F78" s="230" t="str">
        <x:v>Reusable core ability; intentionally simple and broadly shareable.</x:v>
      </x:c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  <x:c r="S78" s="176"/>
      <x:c r="T78" s="176"/>
      <x:c r="U78" s="176"/>
      <x:c r="V78" s="176"/>
      <x:c r="W78" s="176"/>
      <x:c r="X78" s="176"/>
    </x:row>
    <x:row r="79">
      <x:c r="A79" s="227" t="str">
        <x:v>Thornhide</x:v>
      </x:c>
      <x:c r="B79" s="228" t="str">
        <x:v>Standard</x:v>
      </x:c>
      <x:c r="C79" s="228" t="str">
        <x:v>A foe making contact loses 1/16 of its maximum HP.</x:v>
      </x:c>
      <x:c r="D79" s="229" t="n">
        <x:v>5</x:v>
      </x:c>
      <x:c r="E79" s="229" t="n">
        <x:v>0</x:v>
      </x:c>
      <x:c r="F79" s="230" t="str">
        <x:v>Reusable core ability; intentionally simple and broadly shareable.</x:v>
      </x:c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  <x:c r="S79" s="176"/>
      <x:c r="T79" s="176"/>
      <x:c r="U79" s="176"/>
      <x:c r="V79" s="176"/>
      <x:c r="W79" s="176"/>
      <x:c r="X79" s="176"/>
    </x:row>
    <x:row r="80">
      <x:c r="A80" s="227" t="str">
        <x:v>Tithe Charge</x:v>
      </x:c>
      <x:c r="B80" s="228" t="str">
        <x:v>Signature</x:v>
      </x:c>
      <x:c r="C80" s="228" t="str">
        <x:v>Whenever any party member consumes a held item, this monster gains one Tithe Charge, up to 3. Its next Electric-type damaging move consumes them for +10% damage per Charge.</x:v>
      </x:c>
      <x:c r="D80" s="229" t="n">
        <x:v>1</x:v>
      </x:c>
      <x:c r="E80" s="229" t="n">
        <x:v>1</x:v>
      </x:c>
      <x:c r="F80" s="230" t="str">
        <x:v>Defining bespoke mechanic; keep implementation and tuning isolated.</x:v>
      </x:c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  <x:c r="S80" s="176"/>
      <x:c r="T80" s="176"/>
      <x:c r="U80" s="176"/>
      <x:c r="V80" s="176"/>
      <x:c r="W80" s="176"/>
      <x:c r="X80" s="176"/>
    </x:row>
    <x:row r="81">
      <x:c r="A81" s="227" t="str">
        <x:v>Toxinproof</x:v>
      </x:c>
      <x:c r="B81" s="228" t="str">
        <x:v>Standard</x:v>
      </x:c>
      <x:c r="C81" s="228" t="str">
        <x:v>This monster cannot be poisoned or badly poisoned.</x:v>
      </x:c>
      <x:c r="D81" s="229" t="n">
        <x:v>6</x:v>
      </x:c>
      <x:c r="E81" s="229" t="n">
        <x:v>0</x:v>
      </x:c>
      <x:c r="F81" s="230" t="str">
        <x:v>Reusable core ability; intentionally simple and broadly shareable.</x:v>
      </x:c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  <x:c r="S81" s="176"/>
      <x:c r="T81" s="176"/>
      <x:c r="U81" s="176"/>
      <x:c r="V81" s="176"/>
      <x:c r="W81" s="176"/>
      <x:c r="X81" s="176"/>
    </x:row>
    <x:row r="82">
      <x:c r="A82" s="227" t="str">
        <x:v>Trailblazer</x:v>
      </x:c>
      <x:c r="B82" s="228" t="str">
        <x:v>Standard</x:v>
      </x:c>
      <x:c r="C82" s="228" t="str">
        <x:v>Damage this monster takes from entry hazards is reduced by 50%.</x:v>
      </x:c>
      <x:c r="D82" s="229" t="n">
        <x:v>10</x:v>
      </x:c>
      <x:c r="E82" s="229" t="n">
        <x:v>1</x:v>
      </x:c>
      <x:c r="F82" s="230" t="str">
        <x:v>Reusable core ability; intentionally simple and broadly shareable.</x:v>
      </x:c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  <x:c r="S82" s="176"/>
      <x:c r="T82" s="176"/>
      <x:c r="U82" s="176"/>
      <x:c r="V82" s="176"/>
      <x:c r="W82" s="176"/>
      <x:c r="X82" s="176"/>
    </x:row>
    <x:row r="83">
      <x:c r="A83" s="227" t="str">
        <x:v>Truce</x:v>
      </x:c>
      <x:c r="B83" s="228" t="str">
        <x:v>Standard</x:v>
      </x:c>
      <x:c r="C83" s="228" t="str">
        <x:v>After a turn in which this monster deals no damage, Sp. Def rises by 1 stage. Can trigger once per switch-in.</x:v>
      </x:c>
      <x:c r="D83" s="229" t="n">
        <x:v>12</x:v>
      </x:c>
      <x:c r="E83" s="229" t="n">
        <x:v>10</x:v>
      </x:c>
      <x:c r="F83" s="230" t="str">
        <x:v>Reusable core ability; intentionally simple and broadly shareable.</x:v>
      </x:c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  <x:c r="S83" s="176"/>
      <x:c r="T83" s="176"/>
      <x:c r="U83" s="176"/>
      <x:c r="V83" s="176"/>
      <x:c r="W83" s="176"/>
      <x:c r="X83" s="176"/>
    </x:row>
    <x:row r="84">
      <x:c r="A84" s="227" t="str">
        <x:v>Unfazed</x:v>
      </x:c>
      <x:c r="B84" s="228" t="str">
        <x:v>Standard</x:v>
      </x:c>
      <x:c r="C84" s="228" t="str">
        <x:v>This monster cannot flinch.</x:v>
      </x:c>
      <x:c r="D84" s="229" t="n">
        <x:v>6</x:v>
      </x:c>
      <x:c r="E84" s="229" t="n">
        <x:v>0</x:v>
      </x:c>
      <x:c r="F84" s="230" t="str">
        <x:v>Reusable core ability; intentionally simple and broadly shareable.</x:v>
      </x:c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  <x:c r="S84" s="176"/>
      <x:c r="T84" s="176"/>
      <x:c r="U84" s="176"/>
      <x:c r="V84" s="176"/>
      <x:c r="W84" s="176"/>
      <x:c r="X84" s="176"/>
    </x:row>
    <x:row r="85">
      <x:c r="A85" s="227" t="str">
        <x:v>Wayfarer</x:v>
      </x:c>
      <x:c r="B85" s="228" t="str">
        <x:v>Standard</x:v>
      </x:c>
      <x:c r="C85" s="228" t="str">
        <x:v>This monster cannot be trapped and may always switch out normally.</x:v>
      </x:c>
      <x:c r="D85" s="229" t="n">
        <x:v>25</x:v>
      </x:c>
      <x:c r="E85" s="229" t="n">
        <x:v>5</x:v>
      </x:c>
      <x:c r="F85" s="230" t="str">
        <x:v>Reusable core ability; intentionally simple and broadly shareable.</x:v>
      </x:c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  <x:c r="S85" s="176"/>
      <x:c r="T85" s="176"/>
      <x:c r="U85" s="176"/>
      <x:c r="V85" s="176"/>
      <x:c r="W85" s="176"/>
      <x:c r="X85" s="176"/>
    </x:row>
    <x:row r="86">
      <x:c r="A86" s="227" t="str">
        <x:v>Waystone Master</x:v>
      </x:c>
      <x:c r="B86" s="228" t="str">
        <x:v>Signature</x:v>
      </x:c>
      <x:c r="C86" s="228" t="str">
        <x:v>Entry-hazard damage is halved; when this monster enters, it removes one layer of entry hazards from its own side.</x:v>
      </x:c>
      <x:c r="D86" s="229" t="n">
        <x:v>3</x:v>
      </x:c>
      <x:c r="E86" s="229" t="n">
        <x:v>3</x:v>
      </x:c>
      <x:c r="F86" s="230" t="str">
        <x:v>Defining bespoke mechanic; keep implementation and tuning isolated.</x:v>
      </x:c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  <x:c r="S86" s="176"/>
      <x:c r="T86" s="176"/>
      <x:c r="U86" s="176"/>
      <x:c r="V86" s="176"/>
      <x:c r="W86" s="176"/>
      <x:c r="X86" s="176"/>
    </x:row>
    <x:row r="87">
      <x:c r="A87" s="227" t="str">
        <x:v>Weakpoint Hunter</x:v>
      </x:c>
      <x:c r="B87" s="228" t="str">
        <x:v>Standard</x:v>
      </x:c>
      <x:c r="C87" s="228" t="str">
        <x:v>Super-effective damaging moves deal 10% more damage.</x:v>
      </x:c>
      <x:c r="D87" s="229" t="n">
        <x:v>1</x:v>
      </x:c>
      <x:c r="E87" s="229" t="n">
        <x:v>1</x:v>
      </x:c>
      <x:c r="F87" s="230" t="str">
        <x:v>Reusable core ability; intentionally simple and broadly shareable.</x:v>
      </x:c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  <x:c r="S87" s="176"/>
      <x:c r="T87" s="176"/>
      <x:c r="U87" s="176"/>
      <x:c r="V87" s="176"/>
      <x:c r="W87" s="176"/>
      <x:c r="X87" s="176"/>
    </x:row>
    <x:row r="88">
      <x:c r="A88" s="227" t="str">
        <x:v>Weather Calm</x:v>
      </x:c>
      <x:c r="B88" s="228" t="str">
        <x:v>Rare</x:v>
      </x:c>
      <x:c r="C88" s="228" t="str">
        <x:v>While this monster is active, weather remains in place but its residual damage and stat-modifying effects are suppressed.</x:v>
      </x:c>
      <x:c r="D88" s="229" t="n">
        <x:v>1</x:v>
      </x:c>
      <x:c r="E88" s="229" t="n">
        <x:v>1</x:v>
      </x:c>
      <x:c r="F88" s="230" t="str">
        <x:v>Stronger/specialised reusable effect; assign sparingly.</x:v>
      </x:c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  <x:c r="S88" s="176"/>
      <x:c r="T88" s="176"/>
      <x:c r="U88" s="176"/>
      <x:c r="V88" s="176"/>
      <x:c r="W88" s="176"/>
      <x:c r="X88" s="176"/>
    </x:row>
    <x:row r="89">
      <x:c r="A89" s="231" t="str">
        <x:v>World Anchor</x:v>
      </x:c>
      <x:c r="B89" s="232" t="str">
        <x:v>Signature</x:v>
      </x:c>
      <x:c r="C89" s="232" t="str">
        <x:v>Opponents cannot change the active terrain or force this monster out. It restores 1/16 HP each turn on Grassy or Ground terrain.</x:v>
      </x:c>
      <x:c r="D89" s="233" t="n">
        <x:v>1</x:v>
      </x:c>
      <x:c r="E89" s="233" t="n">
        <x:v>1</x:v>
      </x:c>
      <x:c r="F89" s="234" t="str">
        <x:v>Defining bespoke mechanic; keep implementation and tuning isolated.</x:v>
      </x:c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  <x:c r="S89" s="176"/>
      <x:c r="T89" s="176"/>
      <x:c r="U89" s="176"/>
      <x:c r="V89" s="176"/>
      <x:c r="W89" s="176"/>
      <x:c r="X89" s="176"/>
    </x:row>
    <x:row r="90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  <x:c r="S90" s="176"/>
      <x:c r="T90" s="176"/>
      <x:c r="U90" s="176"/>
      <x:c r="V90" s="176"/>
      <x:c r="W90" s="176"/>
      <x:c r="X90" s="176"/>
    </x:row>
    <x:row r="9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  <x:c r="S91" s="176"/>
      <x:c r="T91" s="176"/>
      <x:c r="U91" s="176"/>
      <x:c r="V91" s="176"/>
      <x:c r="W91" s="176"/>
      <x:c r="X91" s="176"/>
    </x:row>
    <x:row r="92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  <x:c r="S92" s="176"/>
      <x:c r="T92" s="176"/>
      <x:c r="U92" s="176"/>
      <x:c r="V92" s="176"/>
      <x:c r="W92" s="176"/>
      <x:c r="X92" s="176"/>
    </x:row>
    <x:row r="93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  <x:c r="S93" s="176"/>
      <x:c r="T93" s="176"/>
      <x:c r="U93" s="176"/>
      <x:c r="V93" s="176"/>
      <x:c r="W93" s="176"/>
      <x:c r="X93" s="176"/>
    </x:row>
    <x:row r="94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  <x:c r="S94" s="176"/>
      <x:c r="T94" s="176"/>
      <x:c r="U94" s="176"/>
      <x:c r="V94" s="176"/>
      <x:c r="W94" s="176"/>
      <x:c r="X94" s="176"/>
    </x:row>
    <x:row r="9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  <x:c r="S95" s="176"/>
      <x:c r="T95" s="176"/>
      <x:c r="U95" s="176"/>
      <x:c r="V95" s="176"/>
      <x:c r="W95" s="176"/>
      <x:c r="X95" s="176"/>
    </x:row>
    <x:row r="96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  <x:c r="S96" s="176"/>
      <x:c r="T96" s="176"/>
      <x:c r="U96" s="176"/>
      <x:c r="V96" s="176"/>
      <x:c r="W96" s="176"/>
      <x:c r="X96" s="176"/>
    </x:row>
    <x:row r="97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  <x:c r="S97" s="176"/>
      <x:c r="T97" s="176"/>
      <x:c r="U97" s="176"/>
      <x:c r="V97" s="176"/>
      <x:c r="W97" s="176"/>
      <x:c r="X97" s="176"/>
    </x:row>
    <x:row r="98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  <x:c r="S98" s="176"/>
      <x:c r="T98" s="176"/>
      <x:c r="U98" s="176"/>
      <x:c r="V98" s="176"/>
      <x:c r="W98" s="176"/>
      <x:c r="X98" s="176"/>
    </x:row>
    <x:row r="99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  <x:c r="S99" s="176"/>
      <x:c r="T99" s="176"/>
      <x:c r="U99" s="176"/>
      <x:c r="V99" s="176"/>
      <x:c r="W99" s="176"/>
      <x:c r="X99" s="176"/>
    </x:row>
    <x:row r="100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  <x:c r="S100" s="176"/>
      <x:c r="T100" s="176"/>
      <x:c r="U100" s="176"/>
      <x:c r="V100" s="176"/>
      <x:c r="W100" s="176"/>
      <x:c r="X100" s="176"/>
    </x:row>
    <x:row r="10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  <x:c r="S101" s="176"/>
      <x:c r="T101" s="176"/>
      <x:c r="U101" s="176"/>
      <x:c r="V101" s="176"/>
      <x:c r="W101" s="176"/>
      <x:c r="X101" s="176"/>
    </x:row>
    <x:row r="102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  <x:c r="S102" s="176"/>
      <x:c r="T102" s="176"/>
      <x:c r="U102" s="176"/>
      <x:c r="V102" s="176"/>
      <x:c r="W102" s="176"/>
      <x:c r="X102" s="176"/>
    </x:row>
    <x:row r="103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  <x:c r="S103" s="176"/>
      <x:c r="T103" s="176"/>
      <x:c r="U103" s="176"/>
      <x:c r="V103" s="176"/>
      <x:c r="W103" s="176"/>
      <x:c r="X103" s="176"/>
    </x:row>
    <x:row r="104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  <x:c r="S104" s="176"/>
      <x:c r="T104" s="176"/>
      <x:c r="U104" s="176"/>
      <x:c r="V104" s="176"/>
      <x:c r="W104" s="176"/>
      <x:c r="X104" s="176"/>
    </x:row>
    <x:row r="10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  <x:c r="S105" s="176"/>
      <x:c r="T105" s="176"/>
      <x:c r="U105" s="176"/>
      <x:c r="V105" s="176"/>
      <x:c r="W105" s="176"/>
      <x:c r="X105" s="176"/>
    </x:row>
    <x:row r="106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  <x:c r="S106" s="176"/>
      <x:c r="T106" s="176"/>
      <x:c r="U106" s="176"/>
      <x:c r="V106" s="176"/>
      <x:c r="W106" s="176"/>
      <x:c r="X106" s="176"/>
    </x:row>
    <x:row r="107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  <x:c r="S107" s="176"/>
      <x:c r="T107" s="176"/>
      <x:c r="U107" s="176"/>
      <x:c r="V107" s="176"/>
      <x:c r="W107" s="176"/>
      <x:c r="X107" s="176"/>
    </x:row>
    <x:row r="108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  <x:c r="S108" s="176"/>
      <x:c r="T108" s="176"/>
      <x:c r="U108" s="176"/>
      <x:c r="V108" s="176"/>
      <x:c r="W108" s="176"/>
      <x:c r="X108" s="176"/>
    </x:row>
    <x:row r="109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  <x:c r="S109" s="176"/>
      <x:c r="T109" s="176"/>
      <x:c r="U109" s="176"/>
      <x:c r="V109" s="176"/>
      <x:c r="W109" s="176"/>
      <x:c r="X109" s="176"/>
    </x:row>
    <x:row r="110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  <x:c r="S110" s="176"/>
      <x:c r="T110" s="176"/>
      <x:c r="U110" s="176"/>
      <x:c r="V110" s="176"/>
      <x:c r="W110" s="176"/>
      <x:c r="X110" s="176"/>
    </x:row>
    <x:row r="11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  <x:c r="S111" s="176"/>
      <x:c r="T111" s="176"/>
      <x:c r="U111" s="176"/>
      <x:c r="V111" s="176"/>
      <x:c r="W111" s="176"/>
      <x:c r="X111" s="176"/>
    </x:row>
    <x:row r="112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  <x:c r="S112" s="176"/>
      <x:c r="T112" s="176"/>
      <x:c r="U112" s="176"/>
      <x:c r="V112" s="176"/>
      <x:c r="W112" s="176"/>
      <x:c r="X112" s="176"/>
    </x:row>
    <x:row r="113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  <x:c r="S113" s="176"/>
      <x:c r="T113" s="176"/>
      <x:c r="U113" s="176"/>
      <x:c r="V113" s="176"/>
      <x:c r="W113" s="176"/>
      <x:c r="X113" s="176"/>
    </x:row>
    <x:row r="114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  <x:c r="S114" s="176"/>
      <x:c r="T114" s="176"/>
      <x:c r="U114" s="176"/>
      <x:c r="V114" s="176"/>
      <x:c r="W114" s="176"/>
      <x:c r="X114" s="176"/>
    </x:row>
    <x:row r="11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  <x:c r="S115" s="176"/>
      <x:c r="T115" s="176"/>
      <x:c r="U115" s="176"/>
      <x:c r="V115" s="176"/>
      <x:c r="W115" s="176"/>
      <x:c r="X115" s="176"/>
    </x:row>
    <x:row r="116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  <x:c r="S116" s="176"/>
      <x:c r="T116" s="176"/>
      <x:c r="U116" s="176"/>
      <x:c r="V116" s="176"/>
      <x:c r="W116" s="176"/>
      <x:c r="X116" s="176"/>
    </x:row>
    <x:row r="117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  <x:c r="S117" s="176"/>
      <x:c r="T117" s="176"/>
      <x:c r="U117" s="176"/>
      <x:c r="V117" s="176"/>
      <x:c r="W117" s="176"/>
      <x:c r="X117" s="176"/>
    </x:row>
    <x:row r="118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  <x:c r="S118" s="176"/>
      <x:c r="T118" s="176"/>
      <x:c r="U118" s="176"/>
      <x:c r="V118" s="176"/>
      <x:c r="W118" s="176"/>
      <x:c r="X118" s="176"/>
    </x:row>
    <x:row r="119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  <x:c r="S119" s="176"/>
      <x:c r="T119" s="176"/>
      <x:c r="U119" s="176"/>
      <x:c r="V119" s="176"/>
      <x:c r="W119" s="176"/>
      <x:c r="X119" s="176"/>
    </x:row>
    <x:row r="120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  <x:c r="S120" s="176"/>
      <x:c r="T120" s="176"/>
      <x:c r="U120" s="176"/>
      <x:c r="V120" s="176"/>
      <x:c r="W120" s="176"/>
      <x:c r="X120" s="176"/>
    </x:row>
    <x:row r="12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  <x:c r="S121" s="176"/>
      <x:c r="T121" s="176"/>
      <x:c r="U121" s="176"/>
      <x:c r="V121" s="176"/>
      <x:c r="W121" s="176"/>
      <x:c r="X121" s="176"/>
    </x:row>
    <x:row r="122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  <x:c r="S122" s="176"/>
      <x:c r="T122" s="176"/>
      <x:c r="U122" s="176"/>
      <x:c r="V122" s="176"/>
      <x:c r="W122" s="176"/>
      <x:c r="X122" s="176"/>
    </x:row>
    <x:row r="123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  <x:c r="S123" s="176"/>
      <x:c r="T123" s="176"/>
      <x:c r="U123" s="176"/>
      <x:c r="V123" s="176"/>
      <x:c r="W123" s="176"/>
      <x:c r="X123" s="176"/>
    </x:row>
    <x:row r="124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  <x:c r="S124" s="176"/>
      <x:c r="T124" s="176"/>
      <x:c r="U124" s="176"/>
      <x:c r="V124" s="176"/>
      <x:c r="W124" s="176"/>
      <x:c r="X124" s="176"/>
    </x:row>
    <x:row r="1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  <x:c r="S125" s="176"/>
      <x:c r="T125" s="176"/>
      <x:c r="U125" s="176"/>
      <x:c r="V125" s="176"/>
      <x:c r="W125" s="176"/>
      <x:c r="X125" s="176"/>
    </x:row>
    <x:row r="126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  <x:c r="S126" s="176"/>
      <x:c r="T126" s="176"/>
      <x:c r="U126" s="176"/>
      <x:c r="V126" s="176"/>
      <x:c r="W126" s="176"/>
      <x:c r="X126" s="176"/>
    </x:row>
    <x:row r="127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  <x:c r="S127" s="176"/>
      <x:c r="T127" s="176"/>
      <x:c r="U127" s="176"/>
      <x:c r="V127" s="176"/>
      <x:c r="W127" s="176"/>
      <x:c r="X127" s="176"/>
    </x:row>
    <x:row r="128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  <x:c r="S128" s="176"/>
      <x:c r="T128" s="176"/>
      <x:c r="U128" s="176"/>
      <x:c r="V128" s="176"/>
      <x:c r="W128" s="176"/>
      <x:c r="X128" s="176"/>
    </x:row>
    <x:row r="129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  <x:c r="S129" s="176"/>
      <x:c r="T129" s="176"/>
      <x:c r="U129" s="176"/>
      <x:c r="V129" s="176"/>
      <x:c r="W129" s="176"/>
      <x:c r="X129" s="176"/>
    </x:row>
    <x:row r="130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  <x:c r="S130" s="176"/>
      <x:c r="T130" s="176"/>
      <x:c r="U130" s="176"/>
      <x:c r="V130" s="176"/>
      <x:c r="W130" s="176"/>
      <x:c r="X130" s="176"/>
    </x:row>
    <x:row r="13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  <x:c r="S131" s="176"/>
      <x:c r="T131" s="176"/>
      <x:c r="U131" s="176"/>
      <x:c r="V131" s="176"/>
      <x:c r="W131" s="176"/>
      <x:c r="X131" s="176"/>
    </x:row>
    <x:row r="132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  <x:c r="S132" s="176"/>
      <x:c r="T132" s="176"/>
      <x:c r="U132" s="176"/>
      <x:c r="V132" s="176"/>
      <x:c r="W132" s="176"/>
      <x:c r="X132" s="176"/>
    </x:row>
    <x:row r="133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  <x:c r="S133" s="176"/>
      <x:c r="T133" s="176"/>
      <x:c r="U133" s="176"/>
      <x:c r="V133" s="176"/>
      <x:c r="W133" s="176"/>
      <x:c r="X133" s="176"/>
    </x:row>
    <x:row r="134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  <x:c r="S134" s="176"/>
      <x:c r="T134" s="176"/>
      <x:c r="U134" s="176"/>
      <x:c r="V134" s="176"/>
      <x:c r="W134" s="176"/>
      <x:c r="X134" s="176"/>
    </x:row>
    <x:row r="13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  <x:c r="S135" s="176"/>
      <x:c r="T135" s="176"/>
      <x:c r="U135" s="176"/>
      <x:c r="V135" s="176"/>
      <x:c r="W135" s="176"/>
      <x:c r="X135" s="176"/>
    </x:row>
    <x:row r="136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  <x:c r="S136" s="176"/>
      <x:c r="T136" s="176"/>
      <x:c r="U136" s="176"/>
      <x:c r="V136" s="176"/>
      <x:c r="W136" s="176"/>
      <x:c r="X136" s="176"/>
    </x:row>
    <x:row r="137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  <x:c r="S137" s="176"/>
      <x:c r="T137" s="176"/>
      <x:c r="U137" s="176"/>
      <x:c r="V137" s="176"/>
      <x:c r="W137" s="176"/>
      <x:c r="X137" s="176"/>
    </x:row>
    <x:row r="138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  <x:c r="S138" s="176"/>
      <x:c r="T138" s="176"/>
      <x:c r="U138" s="176"/>
      <x:c r="V138" s="176"/>
      <x:c r="W138" s="176"/>
      <x:c r="X138" s="176"/>
    </x:row>
    <x:row r="139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  <x:c r="S139" s="176"/>
      <x:c r="T139" s="176"/>
      <x:c r="U139" s="176"/>
      <x:c r="V139" s="176"/>
      <x:c r="W139" s="176"/>
      <x:c r="X139" s="176"/>
    </x:row>
    <x:row r="140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  <x:c r="S140" s="176"/>
      <x:c r="T140" s="176"/>
      <x:c r="U140" s="176"/>
      <x:c r="V140" s="176"/>
      <x:c r="W140" s="176"/>
      <x:c r="X140" s="176"/>
    </x:row>
    <x:row r="14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  <x:c r="S141" s="176"/>
      <x:c r="T141" s="176"/>
      <x:c r="U141" s="176"/>
      <x:c r="V141" s="176"/>
      <x:c r="W141" s="176"/>
      <x:c r="X141" s="176"/>
    </x:row>
    <x:row r="142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  <x:c r="S142" s="176"/>
      <x:c r="T142" s="176"/>
      <x:c r="U142" s="176"/>
      <x:c r="V142" s="176"/>
      <x:c r="W142" s="176"/>
      <x:c r="X142" s="176"/>
    </x:row>
    <x:row r="143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  <x:c r="S143" s="176"/>
      <x:c r="T143" s="176"/>
      <x:c r="U143" s="176"/>
      <x:c r="V143" s="176"/>
      <x:c r="W143" s="176"/>
      <x:c r="X143" s="176"/>
    </x:row>
    <x:row r="144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  <x:c r="S144" s="176"/>
      <x:c r="T144" s="176"/>
      <x:c r="U144" s="176"/>
      <x:c r="V144" s="176"/>
      <x:c r="W144" s="176"/>
      <x:c r="X144" s="176"/>
    </x:row>
    <x:row r="14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  <x:c r="S145" s="176"/>
      <x:c r="T145" s="176"/>
      <x:c r="U145" s="176"/>
      <x:c r="V145" s="176"/>
      <x:c r="W145" s="176"/>
      <x:c r="X145" s="176"/>
    </x:row>
    <x:row r="146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6"/>
      <x:c r="N146" s="176"/>
      <x:c r="O146" s="176"/>
      <x:c r="P146" s="176"/>
      <x:c r="Q146" s="176"/>
      <x:c r="R146" s="176"/>
      <x:c r="S146" s="176"/>
      <x:c r="T146" s="176"/>
      <x:c r="U146" s="176"/>
      <x:c r="V146" s="176"/>
      <x:c r="W146" s="176"/>
      <x:c r="X146" s="176"/>
    </x:row>
    <x:row r="147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6"/>
      <x:c r="N147" s="176"/>
      <x:c r="O147" s="176"/>
      <x:c r="P147" s="176"/>
      <x:c r="Q147" s="176"/>
      <x:c r="R147" s="176"/>
      <x:c r="S147" s="176"/>
      <x:c r="T147" s="176"/>
      <x:c r="U147" s="176"/>
      <x:c r="V147" s="176"/>
      <x:c r="W147" s="176"/>
      <x:c r="X147" s="176"/>
    </x:row>
    <x:row r="148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6"/>
      <x:c r="N148" s="176"/>
      <x:c r="O148" s="176"/>
      <x:c r="P148" s="176"/>
      <x:c r="Q148" s="176"/>
      <x:c r="R148" s="176"/>
      <x:c r="S148" s="176"/>
      <x:c r="T148" s="176"/>
      <x:c r="U148" s="176"/>
      <x:c r="V148" s="176"/>
      <x:c r="W148" s="176"/>
      <x:c r="X148" s="176"/>
    </x:row>
    <x:row r="149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6"/>
      <x:c r="N149" s="176"/>
      <x:c r="O149" s="176"/>
      <x:c r="P149" s="176"/>
      <x:c r="Q149" s="176"/>
      <x:c r="R149" s="176"/>
      <x:c r="S149" s="176"/>
      <x:c r="T149" s="176"/>
      <x:c r="U149" s="176"/>
      <x:c r="V149" s="176"/>
      <x:c r="W149" s="176"/>
      <x:c r="X149" s="176"/>
    </x:row>
    <x:row r="150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6"/>
      <x:c r="N150" s="176"/>
      <x:c r="O150" s="176"/>
      <x:c r="P150" s="176"/>
      <x:c r="Q150" s="176"/>
      <x:c r="R150" s="176"/>
      <x:c r="S150" s="176"/>
      <x:c r="T150" s="176"/>
      <x:c r="U150" s="176"/>
      <x:c r="V150" s="176"/>
      <x:c r="W150" s="176"/>
      <x:c r="X150" s="176"/>
    </x:row>
    <x:row r="151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6"/>
      <x:c r="N151" s="176"/>
      <x:c r="O151" s="176"/>
      <x:c r="P151" s="176"/>
      <x:c r="Q151" s="176"/>
      <x:c r="R151" s="176"/>
      <x:c r="S151" s="176"/>
      <x:c r="T151" s="176"/>
      <x:c r="U151" s="176"/>
      <x:c r="V151" s="176"/>
      <x:c r="W151" s="176"/>
      <x:c r="X151" s="176"/>
    </x:row>
    <x:row r="152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6"/>
      <x:c r="N152" s="176"/>
      <x:c r="O152" s="176"/>
      <x:c r="P152" s="176"/>
      <x:c r="Q152" s="176"/>
      <x:c r="R152" s="176"/>
      <x:c r="S152" s="176"/>
      <x:c r="T152" s="176"/>
      <x:c r="U152" s="176"/>
      <x:c r="V152" s="176"/>
      <x:c r="W152" s="176"/>
      <x:c r="X152" s="176"/>
    </x:row>
    <x:row r="153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6"/>
      <x:c r="N153" s="176"/>
      <x:c r="O153" s="176"/>
      <x:c r="P153" s="176"/>
      <x:c r="Q153" s="176"/>
      <x:c r="R153" s="176"/>
      <x:c r="S153" s="176"/>
      <x:c r="T153" s="176"/>
      <x:c r="U153" s="176"/>
      <x:c r="V153" s="176"/>
      <x:c r="W153" s="176"/>
      <x:c r="X153" s="176"/>
    </x:row>
    <x:row r="154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6"/>
      <x:c r="N154" s="176"/>
      <x:c r="O154" s="176"/>
      <x:c r="P154" s="176"/>
      <x:c r="Q154" s="176"/>
      <x:c r="R154" s="176"/>
      <x:c r="S154" s="176"/>
      <x:c r="T154" s="176"/>
      <x:c r="U154" s="176"/>
      <x:c r="V154" s="176"/>
      <x:c r="W154" s="176"/>
      <x:c r="X154" s="176"/>
    </x:row>
    <x:row r="15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6"/>
      <x:c r="N155" s="176"/>
      <x:c r="O155" s="176"/>
      <x:c r="P155" s="176"/>
      <x:c r="Q155" s="176"/>
      <x:c r="R155" s="176"/>
      <x:c r="S155" s="176"/>
      <x:c r="T155" s="176"/>
      <x:c r="U155" s="176"/>
      <x:c r="V155" s="176"/>
      <x:c r="W155" s="176"/>
      <x:c r="X155" s="176"/>
    </x:row>
    <x:row r="156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6"/>
      <x:c r="N156" s="176"/>
      <x:c r="O156" s="176"/>
      <x:c r="P156" s="176"/>
      <x:c r="Q156" s="176"/>
      <x:c r="R156" s="176"/>
      <x:c r="S156" s="176"/>
      <x:c r="T156" s="176"/>
      <x:c r="U156" s="176"/>
      <x:c r="V156" s="176"/>
      <x:c r="W156" s="176"/>
      <x:c r="X156" s="176"/>
    </x:row>
    <x:row r="157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6"/>
      <x:c r="N157" s="176"/>
      <x:c r="O157" s="176"/>
      <x:c r="P157" s="176"/>
      <x:c r="Q157" s="176"/>
      <x:c r="R157" s="176"/>
      <x:c r="S157" s="176"/>
      <x:c r="T157" s="176"/>
      <x:c r="U157" s="176"/>
      <x:c r="V157" s="176"/>
      <x:c r="W157" s="176"/>
      <x:c r="X157" s="176"/>
    </x:row>
    <x:row r="158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6"/>
      <x:c r="N158" s="176"/>
      <x:c r="O158" s="176"/>
      <x:c r="P158" s="176"/>
      <x:c r="Q158" s="176"/>
      <x:c r="R158" s="176"/>
      <x:c r="S158" s="176"/>
      <x:c r="T158" s="176"/>
      <x:c r="U158" s="176"/>
      <x:c r="V158" s="176"/>
      <x:c r="W158" s="176"/>
      <x:c r="X158" s="176"/>
    </x:row>
    <x:row r="159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6"/>
      <x:c r="N159" s="176"/>
      <x:c r="O159" s="176"/>
      <x:c r="P159" s="176"/>
      <x:c r="Q159" s="176"/>
      <x:c r="R159" s="176"/>
      <x:c r="S159" s="176"/>
      <x:c r="T159" s="176"/>
      <x:c r="U159" s="176"/>
      <x:c r="V159" s="176"/>
      <x:c r="W159" s="176"/>
      <x:c r="X159" s="176"/>
    </x:row>
    <x:row r="160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6"/>
      <x:c r="N160" s="176"/>
      <x:c r="O160" s="176"/>
      <x:c r="P160" s="176"/>
      <x:c r="Q160" s="176"/>
      <x:c r="R160" s="176"/>
      <x:c r="S160" s="176"/>
      <x:c r="T160" s="176"/>
      <x:c r="U160" s="176"/>
      <x:c r="V160" s="176"/>
      <x:c r="W160" s="176"/>
      <x:c r="X160" s="176"/>
    </x:row>
    <x:row r="161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6"/>
      <x:c r="N161" s="176"/>
      <x:c r="O161" s="176"/>
      <x:c r="P161" s="176"/>
      <x:c r="Q161" s="176"/>
      <x:c r="R161" s="176"/>
      <x:c r="S161" s="176"/>
      <x:c r="T161" s="176"/>
      <x:c r="U161" s="176"/>
      <x:c r="V161" s="176"/>
      <x:c r="W161" s="176"/>
      <x:c r="X161" s="176"/>
    </x:row>
    <x:row r="162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6"/>
      <x:c r="N162" s="176"/>
      <x:c r="O162" s="176"/>
      <x:c r="P162" s="176"/>
      <x:c r="Q162" s="176"/>
      <x:c r="R162" s="176"/>
      <x:c r="S162" s="176"/>
      <x:c r="T162" s="176"/>
      <x:c r="U162" s="176"/>
      <x:c r="V162" s="176"/>
      <x:c r="W162" s="176"/>
      <x:c r="X162" s="176"/>
    </x:row>
    <x:row r="163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6"/>
      <x:c r="N163" s="176"/>
      <x:c r="O163" s="176"/>
      <x:c r="P163" s="176"/>
      <x:c r="Q163" s="176"/>
      <x:c r="R163" s="176"/>
      <x:c r="S163" s="176"/>
      <x:c r="T163" s="176"/>
      <x:c r="U163" s="176"/>
      <x:c r="V163" s="176"/>
      <x:c r="W163" s="176"/>
      <x:c r="X163" s="176"/>
    </x:row>
    <x:row r="164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6"/>
      <x:c r="N164" s="176"/>
      <x:c r="O164" s="176"/>
      <x:c r="P164" s="176"/>
      <x:c r="Q164" s="176"/>
      <x:c r="R164" s="176"/>
      <x:c r="S164" s="176"/>
      <x:c r="T164" s="176"/>
      <x:c r="U164" s="176"/>
      <x:c r="V164" s="176"/>
      <x:c r="W164" s="176"/>
      <x:c r="X164" s="176"/>
    </x:row>
    <x:row r="16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6"/>
      <x:c r="N165" s="176"/>
      <x:c r="O165" s="176"/>
      <x:c r="P165" s="176"/>
      <x:c r="Q165" s="176"/>
      <x:c r="R165" s="176"/>
      <x:c r="S165" s="176"/>
      <x:c r="T165" s="176"/>
      <x:c r="U165" s="176"/>
      <x:c r="V165" s="176"/>
      <x:c r="W165" s="176"/>
      <x:c r="X165" s="176"/>
    </x:row>
    <x:row r="166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6"/>
      <x:c r="N166" s="176"/>
      <x:c r="O166" s="176"/>
      <x:c r="P166" s="176"/>
      <x:c r="Q166" s="176"/>
      <x:c r="R166" s="176"/>
      <x:c r="S166" s="176"/>
      <x:c r="T166" s="176"/>
      <x:c r="U166" s="176"/>
      <x:c r="V166" s="176"/>
      <x:c r="W166" s="176"/>
      <x:c r="X166" s="176"/>
    </x:row>
    <x:row r="167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6"/>
      <x:c r="N167" s="176"/>
      <x:c r="O167" s="176"/>
      <x:c r="P167" s="176"/>
      <x:c r="Q167" s="176"/>
      <x:c r="R167" s="176"/>
      <x:c r="S167" s="176"/>
      <x:c r="T167" s="176"/>
      <x:c r="U167" s="176"/>
      <x:c r="V167" s="176"/>
      <x:c r="W167" s="176"/>
      <x:c r="X167" s="176"/>
    </x:row>
    <x:row r="168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6"/>
      <x:c r="N168" s="176"/>
      <x:c r="O168" s="176"/>
      <x:c r="P168" s="176"/>
      <x:c r="Q168" s="176"/>
      <x:c r="R168" s="176"/>
      <x:c r="S168" s="176"/>
      <x:c r="T168" s="176"/>
      <x:c r="U168" s="176"/>
      <x:c r="V168" s="176"/>
      <x:c r="W168" s="176"/>
      <x:c r="X168" s="176"/>
    </x:row>
    <x:row r="169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6"/>
      <x:c r="N169" s="176"/>
      <x:c r="O169" s="176"/>
      <x:c r="P169" s="176"/>
      <x:c r="Q169" s="176"/>
      <x:c r="R169" s="176"/>
      <x:c r="S169" s="176"/>
      <x:c r="T169" s="176"/>
      <x:c r="U169" s="176"/>
      <x:c r="V169" s="176"/>
      <x:c r="W169" s="176"/>
      <x:c r="X169" s="176"/>
    </x:row>
    <x:row r="170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6"/>
      <x:c r="N170" s="176"/>
      <x:c r="O170" s="176"/>
      <x:c r="P170" s="176"/>
      <x:c r="Q170" s="176"/>
      <x:c r="R170" s="176"/>
      <x:c r="S170" s="176"/>
      <x:c r="T170" s="176"/>
      <x:c r="U170" s="176"/>
      <x:c r="V170" s="176"/>
      <x:c r="W170" s="176"/>
      <x:c r="X170" s="176"/>
    </x:row>
    <x:row r="171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6"/>
      <x:c r="N171" s="176"/>
      <x:c r="O171" s="176"/>
      <x:c r="P171" s="176"/>
      <x:c r="Q171" s="176"/>
      <x:c r="R171" s="176"/>
      <x:c r="S171" s="176"/>
      <x:c r="T171" s="176"/>
      <x:c r="U171" s="176"/>
      <x:c r="V171" s="176"/>
      <x:c r="W171" s="176"/>
      <x:c r="X171" s="176"/>
    </x:row>
    <x:row r="172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6"/>
      <x:c r="N172" s="176"/>
      <x:c r="O172" s="176"/>
      <x:c r="P172" s="176"/>
      <x:c r="Q172" s="176"/>
      <x:c r="R172" s="176"/>
      <x:c r="S172" s="176"/>
      <x:c r="T172" s="176"/>
      <x:c r="U172" s="176"/>
      <x:c r="V172" s="176"/>
      <x:c r="W172" s="176"/>
      <x:c r="X172" s="176"/>
    </x:row>
    <x:row r="173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6"/>
      <x:c r="N173" s="176"/>
      <x:c r="O173" s="176"/>
      <x:c r="P173" s="176"/>
      <x:c r="Q173" s="176"/>
      <x:c r="R173" s="176"/>
      <x:c r="S173" s="176"/>
      <x:c r="T173" s="176"/>
      <x:c r="U173" s="176"/>
      <x:c r="V173" s="176"/>
      <x:c r="W173" s="176"/>
      <x:c r="X173" s="176"/>
    </x:row>
    <x:row r="174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6"/>
      <x:c r="N174" s="176"/>
      <x:c r="O174" s="176"/>
      <x:c r="P174" s="176"/>
      <x:c r="Q174" s="176"/>
      <x:c r="R174" s="176"/>
      <x:c r="S174" s="176"/>
      <x:c r="T174" s="176"/>
      <x:c r="U174" s="176"/>
      <x:c r="V174" s="176"/>
      <x:c r="W174" s="176"/>
      <x:c r="X174" s="176"/>
    </x:row>
    <x:row r="17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6"/>
      <x:c r="N175" s="176"/>
      <x:c r="O175" s="176"/>
      <x:c r="P175" s="176"/>
      <x:c r="Q175" s="176"/>
      <x:c r="R175" s="176"/>
      <x:c r="S175" s="176"/>
      <x:c r="T175" s="176"/>
      <x:c r="U175" s="176"/>
      <x:c r="V175" s="176"/>
      <x:c r="W175" s="176"/>
      <x:c r="X175" s="176"/>
    </x:row>
    <x:row r="176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6"/>
      <x:c r="N176" s="176"/>
      <x:c r="O176" s="176"/>
      <x:c r="P176" s="176"/>
      <x:c r="Q176" s="176"/>
      <x:c r="R176" s="176"/>
      <x:c r="S176" s="176"/>
      <x:c r="T176" s="176"/>
      <x:c r="U176" s="176"/>
      <x:c r="V176" s="176"/>
      <x:c r="W176" s="176"/>
      <x:c r="X176" s="176"/>
    </x:row>
    <x:row r="177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6"/>
      <x:c r="N177" s="176"/>
      <x:c r="O177" s="176"/>
      <x:c r="P177" s="176"/>
      <x:c r="Q177" s="176"/>
      <x:c r="R177" s="176"/>
      <x:c r="S177" s="176"/>
      <x:c r="T177" s="176"/>
      <x:c r="U177" s="176"/>
      <x:c r="V177" s="176"/>
      <x:c r="W177" s="176"/>
      <x:c r="X177" s="176"/>
    </x:row>
    <x:row r="178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6"/>
      <x:c r="N178" s="176"/>
      <x:c r="O178" s="176"/>
      <x:c r="P178" s="176"/>
      <x:c r="Q178" s="176"/>
      <x:c r="R178" s="176"/>
      <x:c r="S178" s="176"/>
      <x:c r="T178" s="176"/>
      <x:c r="U178" s="176"/>
      <x:c r="V178" s="176"/>
      <x:c r="W178" s="176"/>
      <x:c r="X178" s="176"/>
    </x:row>
    <x:row r="179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6"/>
      <x:c r="N179" s="176"/>
      <x:c r="O179" s="176"/>
      <x:c r="P179" s="176"/>
      <x:c r="Q179" s="176"/>
      <x:c r="R179" s="176"/>
      <x:c r="S179" s="176"/>
      <x:c r="T179" s="176"/>
      <x:c r="U179" s="176"/>
      <x:c r="V179" s="176"/>
      <x:c r="W179" s="176"/>
      <x:c r="X179" s="176"/>
    </x:row>
    <x:row r="180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6"/>
      <x:c r="N180" s="176"/>
      <x:c r="O180" s="176"/>
      <x:c r="P180" s="176"/>
      <x:c r="Q180" s="176"/>
      <x:c r="R180" s="176"/>
      <x:c r="S180" s="176"/>
      <x:c r="T180" s="176"/>
      <x:c r="U180" s="176"/>
      <x:c r="V180" s="176"/>
      <x:c r="W180" s="176"/>
      <x:c r="X180" s="176"/>
    </x:row>
    <x:row r="181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6"/>
      <x:c r="N181" s="176"/>
      <x:c r="O181" s="176"/>
      <x:c r="P181" s="176"/>
      <x:c r="Q181" s="176"/>
      <x:c r="R181" s="176"/>
      <x:c r="S181" s="176"/>
      <x:c r="T181" s="176"/>
      <x:c r="U181" s="176"/>
      <x:c r="V181" s="176"/>
      <x:c r="W181" s="176"/>
      <x:c r="X181" s="176"/>
    </x:row>
    <x:row r="182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6"/>
      <x:c r="N182" s="176"/>
      <x:c r="O182" s="176"/>
      <x:c r="P182" s="176"/>
      <x:c r="Q182" s="176"/>
      <x:c r="R182" s="176"/>
      <x:c r="S182" s="176"/>
      <x:c r="T182" s="176"/>
      <x:c r="U182" s="176"/>
      <x:c r="V182" s="176"/>
      <x:c r="W182" s="176"/>
      <x:c r="X182" s="176"/>
    </x:row>
    <x:row r="183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6"/>
      <x:c r="N183" s="176"/>
      <x:c r="O183" s="176"/>
      <x:c r="P183" s="176"/>
      <x:c r="Q183" s="176"/>
      <x:c r="R183" s="176"/>
      <x:c r="S183" s="176"/>
      <x:c r="T183" s="176"/>
      <x:c r="U183" s="176"/>
      <x:c r="V183" s="176"/>
      <x:c r="W183" s="176"/>
      <x:c r="X183" s="176"/>
    </x:row>
    <x:row r="184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6"/>
      <x:c r="N184" s="176"/>
      <x:c r="O184" s="176"/>
      <x:c r="P184" s="176"/>
      <x:c r="Q184" s="176"/>
      <x:c r="R184" s="176"/>
      <x:c r="S184" s="176"/>
      <x:c r="T184" s="176"/>
      <x:c r="U184" s="176"/>
      <x:c r="V184" s="176"/>
      <x:c r="W184" s="176"/>
      <x:c r="X184" s="176"/>
    </x:row>
    <x:row r="18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6"/>
      <x:c r="N185" s="176"/>
      <x:c r="O185" s="176"/>
      <x:c r="P185" s="176"/>
      <x:c r="Q185" s="176"/>
      <x:c r="R185" s="176"/>
      <x:c r="S185" s="176"/>
      <x:c r="T185" s="176"/>
      <x:c r="U185" s="176"/>
      <x:c r="V185" s="176"/>
      <x:c r="W185" s="176"/>
      <x:c r="X185" s="176"/>
    </x:row>
    <x:row r="186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6"/>
      <x:c r="N186" s="176"/>
      <x:c r="O186" s="176"/>
      <x:c r="P186" s="176"/>
      <x:c r="Q186" s="176"/>
      <x:c r="R186" s="176"/>
      <x:c r="S186" s="176"/>
      <x:c r="T186" s="176"/>
      <x:c r="U186" s="176"/>
      <x:c r="V186" s="176"/>
      <x:c r="W186" s="176"/>
      <x:c r="X186" s="176"/>
    </x:row>
    <x:row r="187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6"/>
      <x:c r="N187" s="176"/>
      <x:c r="O187" s="176"/>
      <x:c r="P187" s="176"/>
      <x:c r="Q187" s="176"/>
      <x:c r="R187" s="176"/>
      <x:c r="S187" s="176"/>
      <x:c r="T187" s="176"/>
      <x:c r="U187" s="176"/>
      <x:c r="V187" s="176"/>
      <x:c r="W187" s="176"/>
      <x:c r="X187" s="176"/>
    </x:row>
    <x:row r="188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6"/>
      <x:c r="N188" s="176"/>
      <x:c r="O188" s="176"/>
      <x:c r="P188" s="176"/>
      <x:c r="Q188" s="176"/>
      <x:c r="R188" s="176"/>
      <x:c r="S188" s="176"/>
      <x:c r="T188" s="176"/>
      <x:c r="U188" s="176"/>
      <x:c r="V188" s="176"/>
      <x:c r="W188" s="176"/>
      <x:c r="X188" s="176"/>
    </x:row>
    <x:row r="189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6"/>
      <x:c r="N189" s="176"/>
      <x:c r="O189" s="176"/>
      <x:c r="P189" s="176"/>
      <x:c r="Q189" s="176"/>
      <x:c r="R189" s="176"/>
      <x:c r="S189" s="176"/>
      <x:c r="T189" s="176"/>
      <x:c r="U189" s="176"/>
      <x:c r="V189" s="176"/>
      <x:c r="W189" s="176"/>
      <x:c r="X189" s="176"/>
    </x:row>
    <x:row r="190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6"/>
      <x:c r="N190" s="176"/>
      <x:c r="O190" s="176"/>
      <x:c r="P190" s="176"/>
      <x:c r="Q190" s="176"/>
      <x:c r="R190" s="176"/>
      <x:c r="S190" s="176"/>
      <x:c r="T190" s="176"/>
      <x:c r="U190" s="176"/>
      <x:c r="V190" s="176"/>
      <x:c r="W190" s="176"/>
      <x:c r="X190" s="176"/>
    </x:row>
    <x:row r="191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6"/>
      <x:c r="N191" s="176"/>
      <x:c r="O191" s="176"/>
      <x:c r="P191" s="176"/>
      <x:c r="Q191" s="176"/>
      <x:c r="R191" s="176"/>
      <x:c r="S191" s="176"/>
      <x:c r="T191" s="176"/>
      <x:c r="U191" s="176"/>
      <x:c r="V191" s="176"/>
      <x:c r="W191" s="176"/>
      <x:c r="X191" s="176"/>
    </x:row>
    <x:row r="192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6"/>
      <x:c r="N192" s="176"/>
      <x:c r="O192" s="176"/>
      <x:c r="P192" s="176"/>
      <x:c r="Q192" s="176"/>
      <x:c r="R192" s="176"/>
      <x:c r="S192" s="176"/>
      <x:c r="T192" s="176"/>
      <x:c r="U192" s="176"/>
      <x:c r="V192" s="176"/>
      <x:c r="W192" s="176"/>
      <x:c r="X192" s="176"/>
    </x:row>
    <x:row r="193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6"/>
      <x:c r="N193" s="176"/>
      <x:c r="O193" s="176"/>
      <x:c r="P193" s="176"/>
      <x:c r="Q193" s="176"/>
      <x:c r="R193" s="176"/>
      <x:c r="S193" s="176"/>
      <x:c r="T193" s="176"/>
      <x:c r="U193" s="176"/>
      <x:c r="V193" s="176"/>
      <x:c r="W193" s="176"/>
      <x:c r="X193" s="176"/>
    </x:row>
    <x:row r="194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6"/>
      <x:c r="N194" s="176"/>
      <x:c r="O194" s="176"/>
      <x:c r="P194" s="176"/>
      <x:c r="Q194" s="176"/>
      <x:c r="R194" s="176"/>
      <x:c r="S194" s="176"/>
      <x:c r="T194" s="176"/>
      <x:c r="U194" s="176"/>
      <x:c r="V194" s="176"/>
      <x:c r="W194" s="176"/>
      <x:c r="X194" s="176"/>
    </x:row>
    <x:row r="19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6"/>
      <x:c r="N195" s="176"/>
      <x:c r="O195" s="176"/>
      <x:c r="P195" s="176"/>
      <x:c r="Q195" s="176"/>
      <x:c r="R195" s="176"/>
      <x:c r="S195" s="176"/>
      <x:c r="T195" s="176"/>
      <x:c r="U195" s="176"/>
      <x:c r="V195" s="176"/>
      <x:c r="W195" s="176"/>
      <x:c r="X195" s="176"/>
    </x:row>
    <x:row r="196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6"/>
      <x:c r="N196" s="176"/>
      <x:c r="O196" s="176"/>
      <x:c r="P196" s="176"/>
      <x:c r="Q196" s="176"/>
      <x:c r="R196" s="176"/>
      <x:c r="S196" s="176"/>
      <x:c r="T196" s="176"/>
      <x:c r="U196" s="176"/>
      <x:c r="V196" s="176"/>
      <x:c r="W196" s="176"/>
      <x:c r="X196" s="176"/>
    </x:row>
    <x:row r="197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6"/>
      <x:c r="N197" s="176"/>
      <x:c r="O197" s="176"/>
      <x:c r="P197" s="176"/>
      <x:c r="Q197" s="176"/>
      <x:c r="R197" s="176"/>
      <x:c r="S197" s="176"/>
      <x:c r="T197" s="176"/>
      <x:c r="U197" s="176"/>
      <x:c r="V197" s="176"/>
      <x:c r="W197" s="176"/>
      <x:c r="X197" s="176"/>
    </x:row>
    <x:row r="198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6"/>
      <x:c r="N198" s="176"/>
      <x:c r="O198" s="176"/>
      <x:c r="P198" s="176"/>
      <x:c r="Q198" s="176"/>
      <x:c r="R198" s="176"/>
      <x:c r="S198" s="176"/>
      <x:c r="T198" s="176"/>
      <x:c r="U198" s="176"/>
      <x:c r="V198" s="176"/>
      <x:c r="W198" s="176"/>
      <x:c r="X198" s="176"/>
    </x:row>
    <x:row r="199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6"/>
      <x:c r="N199" s="176"/>
      <x:c r="O199" s="176"/>
      <x:c r="P199" s="176"/>
      <x:c r="Q199" s="176"/>
      <x:c r="R199" s="176"/>
      <x:c r="S199" s="176"/>
      <x:c r="T199" s="176"/>
      <x:c r="U199" s="176"/>
      <x:c r="V199" s="176"/>
      <x:c r="W199" s="176"/>
      <x:c r="X199" s="176"/>
    </x:row>
    <x:row r="200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6"/>
      <x:c r="N200" s="176"/>
      <x:c r="O200" s="176"/>
      <x:c r="P200" s="176"/>
      <x:c r="Q200" s="176"/>
      <x:c r="R200" s="176"/>
      <x:c r="S200" s="176"/>
      <x:c r="T200" s="176"/>
      <x:c r="U200" s="176"/>
      <x:c r="V200" s="176"/>
      <x:c r="W200" s="176"/>
      <x:c r="X200" s="176"/>
    </x:row>
  </x:sheetData>
  <x:mergeCells>
    <x:mergeCell ref="A1:F1"/>
  </x:mergeCells>
  <x:conditionalFormatting sqref="B3:B89">
    <x:cfRule type="expression" dxfId="4" priority="1">
      <x:formula>B3="Signature"</x:formula>
    </x:cfRule>
    <x:cfRule type="expression" dxfId="5" priority="2">
      <x:formula>B3="Rare"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8bc4f09f8e4f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4" max="4" width="24" hidden="0" customWidth="1"/>
    <x:col min="5" max="5" width="15" hidden="0" customWidth="1"/>
    <x:col min="6" max="6" width="15" hidden="0" customWidth="1"/>
  </x:cols>
  <x:sheetData>
    <x:row r="1">
      <x:c r="A1" s="273" t="str">
        <x:v>Balance Audit</x:v>
      </x:c>
      <x:c r="B1" s="273"/>
      <x:c r="C1" s="273"/>
      <x:c r="D1" s="273"/>
      <x:c r="E1" s="273"/>
      <x:c r="F1" s="273"/>
      <x:c r="G1" s="273"/>
      <x:c r="H1" s="273"/>
      <x:c r="I1" s="273"/>
      <x:c r="J1" s="273"/>
      <x:c r="K1" s="176"/>
      <x:c r="L1" s="176"/>
      <x:c r="M1" s="176"/>
      <x:c r="N1" s="176"/>
      <x:c r="O1" s="176"/>
      <x:c r="P1" s="176"/>
      <x:c r="Q1" s="176"/>
      <x:c r="R1" s="176"/>
      <x:c r="S1" s="176"/>
      <x:c r="T1" s="176"/>
      <x:c r="U1" s="176"/>
      <x:c r="V1" s="176"/>
      <x:c r="W1" s="176"/>
      <x:c r="X1" s="176"/>
    </x:row>
    <x:row r="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  <x:c r="M2" s="176"/>
      <x:c r="N2" s="176"/>
      <x:c r="O2" s="176"/>
      <x:c r="P2" s="176"/>
      <x:c r="Q2" s="176"/>
      <x:c r="R2" s="176"/>
      <x:c r="S2" s="176"/>
      <x:c r="T2" s="176"/>
      <x:c r="U2" s="176"/>
      <x:c r="V2" s="176"/>
      <x:c r="W2" s="176"/>
      <x:c r="X2" s="176"/>
    </x:row>
    <x:row r="3">
      <x:c r="A3" s="179" t="str">
        <x:v>Metric</x:v>
      </x:c>
      <x:c r="B3" s="180" t="str">
        <x:v>Value</x:v>
      </x:c>
      <x:c r="C3" s="176"/>
      <x:c r="D3" s="179" t="str">
        <x:v>Power Class</x:v>
      </x:c>
      <x:c r="E3" s="247" t="str">
        <x:v>Species Count</x:v>
      </x:c>
      <x:c r="F3" s="180" t="str">
        <x:v>Average BST</x:v>
      </x:c>
      <x:c r="G3" s="176"/>
      <x:c r="H3" s="176"/>
      <x:c r="I3" s="176"/>
      <x:c r="J3" s="176"/>
      <x:c r="K3" s="176"/>
      <x:c r="L3" s="176"/>
      <x:c r="M3" s="176"/>
      <x:c r="N3" s="176"/>
      <x:c r="O3" s="176"/>
      <x:c r="P3" s="176"/>
      <x:c r="Q3" s="176"/>
      <x:c r="R3" s="176"/>
      <x:c r="S3" s="176"/>
      <x:c r="T3" s="176"/>
      <x:c r="U3" s="176"/>
      <x:c r="V3" s="176"/>
      <x:c r="W3" s="176"/>
      <x:c r="X3" s="176"/>
    </x:row>
    <x:row r="4">
      <x:c r="A4" s="248" t="str">
        <x:v>Species</x:v>
      </x:c>
      <x:c r="B4" s="249" t="n">
        <x:f>COUNTA('Full Dex'!B3:B189)</x:f>
        <x:v>187</x:v>
      </x:c>
      <x:c r="C4" s="176"/>
      <x:c r="D4" s="248" t="str">
        <x:v>Base / Early</x:v>
      </x:c>
      <x:c r="E4" s="250" t="n">
        <x:f>COUNTIF('Full Dex'!F3:F189,D4)</x:f>
        <x:v>67</x:v>
      </x:c>
      <x:c r="F4" s="249" t="n">
        <x:f>IF(E4=0,0,AVERAGEIF('Full Dex'!F3:F189,D4,'Full Dex'!Q3:Q189))</x:f>
        <x:v>301.7910447761194</x:v>
      </x:c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6"/>
      <x:c r="S4" s="176"/>
      <x:c r="T4" s="176"/>
      <x:c r="U4" s="176"/>
      <x:c r="V4" s="176"/>
      <x:c r="W4" s="176"/>
      <x:c r="X4" s="176"/>
    </x:row>
    <x:row r="5">
      <x:c r="A5" s="248" t="str">
        <x:v>BST mismatches</x:v>
      </x:c>
      <x:c r="B5" s="249" t="n">
        <x:f>COUNTIF('Full Dex'!S3:S189,"&lt;&gt;0")</x:f>
        <x:v>0</x:v>
      </x:c>
      <x:c r="C5" s="176"/>
      <x:c r="D5" s="248" t="str">
        <x:v>Middle / Evolving</x:v>
      </x:c>
      <x:c r="E5" s="250" t="n">
        <x:f>COUNTIF('Full Dex'!F3:F189,D5)</x:f>
        <x:v>13</x:v>
      </x:c>
      <x:c r="F5" s="249" t="n">
        <x:f>IF(E5=0,0,AVERAGEIF('Full Dex'!F3:F189,D5,'Full Dex'!Q3:Q189))</x:f>
        <x:v>413.0769230769231</x:v>
      </x:c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176"/>
      <x:c r="R5" s="176"/>
      <x:c r="S5" s="176"/>
      <x:c r="T5" s="176"/>
      <x:c r="U5" s="176"/>
      <x:c r="V5" s="176"/>
      <x:c r="W5" s="176"/>
      <x:c r="X5" s="176"/>
    </x:row>
    <x:row r="6">
      <x:c r="A6" s="248" t="str">
        <x:v>Minimum BST</x:v>
      </x:c>
      <x:c r="B6" s="249" t="n">
        <x:f>MIN('Full Dex'!Q3:Q189)</x:f>
        <x:v>285</x:v>
      </x:c>
      <x:c r="C6" s="176"/>
      <x:c r="D6" s="248" t="str">
        <x:v>Standard Final</x:v>
      </x:c>
      <x:c r="E6" s="250" t="n">
        <x:f>COUNTIF('Full Dex'!F3:F189,D6)</x:f>
        <x:v>66</x:v>
      </x:c>
      <x:c r="F6" s="249" t="n">
        <x:f>IF(E6=0,0,AVERAGEIF('Full Dex'!F3:F189,D6,'Full Dex'!Q3:Q189))</x:f>
        <x:v>500.3030303030303</x:v>
      </x:c>
      <x:c r="G6" s="176"/>
      <x:c r="H6" s="176"/>
      <x:c r="I6" s="176"/>
      <x:c r="J6" s="176"/>
      <x:c r="K6" s="176"/>
      <x:c r="L6" s="176"/>
      <x:c r="M6" s="176"/>
      <x:c r="N6" s="176"/>
      <x:c r="O6" s="176"/>
      <x:c r="P6" s="176"/>
      <x:c r="Q6" s="176"/>
      <x:c r="R6" s="176"/>
      <x:c r="S6" s="176"/>
      <x:c r="T6" s="176"/>
      <x:c r="U6" s="176"/>
      <x:c r="V6" s="176"/>
      <x:c r="W6" s="176"/>
      <x:c r="X6" s="176"/>
    </x:row>
    <x:row r="7">
      <x:c r="A7" s="248" t="str">
        <x:v>Maximum BST</x:v>
      </x:c>
      <x:c r="B7" s="249" t="n">
        <x:f>MAX('Full Dex'!Q3:Q189)</x:f>
        <x:v>680</x:v>
      </x:c>
      <x:c r="C7" s="176"/>
      <x:c r="D7" s="248" t="str">
        <x:v>Elite Final</x:v>
      </x:c>
      <x:c r="E7" s="250" t="n">
        <x:f>COUNTIF('Full Dex'!F3:F189,D7)</x:f>
        <x:v>13</x:v>
      </x:c>
      <x:c r="F7" s="249" t="n">
        <x:f>IF(E7=0,0,AVERAGEIF('Full Dex'!F3:F189,D7,'Full Dex'!Q3:Q189))</x:f>
        <x:v>533.8461538461538</x:v>
      </x:c>
      <x:c r="G7" s="176"/>
      <x:c r="H7" s="176"/>
      <x:c r="I7" s="176"/>
      <x:c r="J7" s="176"/>
      <x:c r="K7" s="176"/>
      <x:c r="L7" s="176"/>
      <x:c r="M7" s="176"/>
      <x:c r="N7" s="176"/>
      <x:c r="O7" s="176"/>
      <x:c r="P7" s="176"/>
      <x:c r="Q7" s="176"/>
      <x:c r="R7" s="176"/>
      <x:c r="S7" s="176"/>
      <x:c r="T7" s="176"/>
      <x:c r="U7" s="176"/>
      <x:c r="V7" s="176"/>
      <x:c r="W7" s="176"/>
      <x:c r="X7" s="176"/>
    </x:row>
    <x:row r="8">
      <x:c r="A8" s="248" t="str">
        <x:v>Average BST</x:v>
      </x:c>
      <x:c r="B8" s="249" t="n">
        <x:f>AVERAGE('Full Dex'!Q3:Q189)</x:f>
        <x:v>427.0855614973262</x:v>
      </x:c>
      <x:c r="C8" s="176"/>
      <x:c r="D8" s="248" t="str">
        <x:v>Single-stage</x:v>
      </x:c>
      <x:c r="E8" s="250" t="n">
        <x:f>COUNTIF('Full Dex'!F3:F189,D8)</x:f>
        <x:v>5</x:v>
      </x:c>
      <x:c r="F8" s="249" t="n">
        <x:f>IF(E8=0,0,AVERAGEIF('Full Dex'!F3:F189,D8,'Full Dex'!Q3:Q189))</x:f>
        <x:v>487</x:v>
      </x:c>
      <x:c r="G8" s="176"/>
      <x:c r="H8" s="176"/>
      <x:c r="I8" s="176"/>
      <x:c r="J8" s="176"/>
      <x:c r="K8" s="176"/>
      <x:c r="L8" s="176"/>
      <x:c r="M8" s="176"/>
      <x:c r="N8" s="176"/>
      <x:c r="O8" s="176"/>
      <x:c r="P8" s="176"/>
      <x:c r="Q8" s="176"/>
      <x:c r="R8" s="176"/>
      <x:c r="S8" s="176"/>
      <x:c r="T8" s="176"/>
      <x:c r="U8" s="176"/>
      <x:c r="V8" s="176"/>
      <x:c r="W8" s="176"/>
      <x:c r="X8" s="176"/>
    </x:row>
    <x:row r="9">
      <x:c r="A9" s="248" t="str">
        <x:v>Signature ability assignments</x:v>
      </x:c>
      <x:c r="B9" s="249" t="n">
        <x:f>COUNTIF('Full Dex'!U3:W189,"Signature")</x:f>
        <x:v>27</x:v>
      </x:c>
      <x:c r="C9" s="176"/>
      <x:c r="D9" s="248" t="str">
        <x:v>Fossil Base</x:v>
      </x:c>
      <x:c r="E9" s="250" t="n">
        <x:f>COUNTIF('Full Dex'!F3:F189,D9)</x:f>
        <x:v>2</x:v>
      </x:c>
      <x:c r="F9" s="249" t="n">
        <x:f>IF(E9=0,0,AVERAGEIF('Full Dex'!F3:F189,D9,'Full Dex'!Q3:Q189))</x:f>
        <x:v>325</x:v>
      </x:c>
      <x:c r="G9" s="176"/>
      <x:c r="H9" s="176"/>
      <x:c r="I9" s="176"/>
      <x:c r="J9" s="176"/>
      <x:c r="K9" s="176"/>
      <x:c r="L9" s="176"/>
      <x:c r="M9" s="176"/>
      <x:c r="N9" s="176"/>
      <x:c r="O9" s="176"/>
      <x:c r="P9" s="176"/>
      <x:c r="Q9" s="176"/>
      <x:c r="R9" s="176"/>
      <x:c r="S9" s="176"/>
      <x:c r="T9" s="176"/>
      <x:c r="U9" s="176"/>
      <x:c r="V9" s="176"/>
      <x:c r="W9" s="176"/>
      <x:c r="X9" s="176"/>
    </x:row>
    <x:row r="10">
      <x:c r="A10" s="251" t="str">
        <x:v>Unique abilities</x:v>
      </x:c>
      <x:c r="B10" s="252" t="n">
        <x:v>87</x:v>
      </x:c>
      <x:c r="C10" s="176"/>
      <x:c r="D10" s="248" t="str">
        <x:v>Fossil Middle</x:v>
      </x:c>
      <x:c r="E10" s="250" t="n">
        <x:f>COUNTIF('Full Dex'!F3:F189,D10)</x:f>
        <x:v>1</x:v>
      </x:c>
      <x:c r="F10" s="249" t="n">
        <x:f>IF(E10=0,0,AVERAGEIF('Full Dex'!F3:F189,D10,'Full Dex'!Q3:Q189))</x:f>
        <x:v>415</x:v>
      </x:c>
      <x:c r="G10" s="176"/>
      <x:c r="H10" s="176"/>
      <x:c r="I10" s="176"/>
      <x:c r="J10" s="176"/>
      <x:c r="K10" s="176"/>
      <x:c r="L10" s="176"/>
      <x:c r="M10" s="176"/>
      <x:c r="N10" s="176"/>
      <x:c r="O10" s="176"/>
      <x:c r="P10" s="176"/>
      <x:c r="Q10" s="176"/>
      <x:c r="R10" s="176"/>
      <x:c r="S10" s="176"/>
      <x:c r="T10" s="176"/>
      <x:c r="U10" s="176"/>
      <x:c r="V10" s="176"/>
      <x:c r="W10" s="176"/>
      <x:c r="X10" s="176"/>
    </x:row>
    <x:row r="11">
      <x:c r="A11" s="176"/>
      <x:c r="B11" s="176"/>
      <x:c r="C11" s="176"/>
      <x:c r="D11" s="248" t="str">
        <x:v>Fossil Final/Single</x:v>
      </x:c>
      <x:c r="E11" s="250" t="n">
        <x:f>COUNTIF('Full Dex'!F3:F189,D11)</x:f>
        <x:v>4</x:v>
      </x:c>
      <x:c r="F11" s="249" t="n">
        <x:f>IF(E11=0,0,AVERAGEIF('Full Dex'!F3:F189,D11,'Full Dex'!Q3:Q189))</x:f>
        <x:v>518.75</x:v>
      </x:c>
      <x:c r="G11" s="176"/>
      <x:c r="H11" s="176"/>
      <x:c r="I11" s="176"/>
      <x:c r="J11" s="176"/>
      <x:c r="K11" s="176"/>
      <x:c r="L11" s="176"/>
      <x:c r="M11" s="176"/>
      <x:c r="N11" s="176"/>
      <x:c r="O11" s="176"/>
      <x:c r="P11" s="176"/>
      <x:c r="Q11" s="176"/>
      <x:c r="R11" s="176"/>
      <x:c r="S11" s="176"/>
      <x:c r="T11" s="176"/>
      <x:c r="U11" s="176"/>
      <x:c r="V11" s="176"/>
      <x:c r="W11" s="176"/>
      <x:c r="X11" s="176"/>
    </x:row>
    <x:row r="12">
      <x:c r="A12" s="176"/>
      <x:c r="B12" s="176"/>
      <x:c r="C12" s="176"/>
      <x:c r="D12" s="248" t="str">
        <x:v>Pseudo Base</x:v>
      </x:c>
      <x:c r="E12" s="250" t="n">
        <x:f>COUNTIF('Full Dex'!F3:F189,D12)</x:f>
        <x:v>2</x:v>
      </x:c>
      <x:c r="F12" s="249" t="n">
        <x:f>IF(E12=0,0,AVERAGEIF('Full Dex'!F3:F189,D12,'Full Dex'!Q3:Q189))</x:f>
        <x:v>300</x:v>
      </x:c>
      <x:c r="G12" s="176"/>
      <x:c r="H12" s="176"/>
      <x:c r="I12" s="176"/>
      <x:c r="J12" s="176"/>
      <x:c r="K12" s="176"/>
      <x:c r="L12" s="176"/>
      <x:c r="M12" s="176"/>
      <x:c r="N12" s="176"/>
      <x:c r="O12" s="176"/>
      <x:c r="P12" s="176"/>
      <x:c r="Q12" s="176"/>
      <x:c r="R12" s="176"/>
      <x:c r="S12" s="176"/>
      <x:c r="T12" s="176"/>
      <x:c r="U12" s="176"/>
      <x:c r="V12" s="176"/>
      <x:c r="W12" s="176"/>
      <x:c r="X12" s="176"/>
    </x:row>
    <x:row r="13">
      <x:c r="A13" s="177" t="str">
        <x:v>Audit rules</x:v>
      </x:c>
      <x:c r="B13" s="177"/>
      <x:c r="C13" s="176"/>
      <x:c r="D13" s="248" t="str">
        <x:v>Pseudo Middle</x:v>
      </x:c>
      <x:c r="E13" s="250" t="n">
        <x:f>COUNTIF('Full Dex'!F3:F189,D13)</x:f>
        <x:v>2</x:v>
      </x:c>
      <x:c r="F13" s="249" t="n">
        <x:f>IF(E13=0,0,AVERAGEIF('Full Dex'!F3:F189,D13,'Full Dex'!Q3:Q189))</x:f>
        <x:v>420</x:v>
      </x:c>
      <x:c r="G13" s="176"/>
      <x:c r="H13" s="176"/>
      <x:c r="I13" s="176"/>
      <x:c r="J13" s="176"/>
      <x:c r="K13" s="176"/>
      <x:c r="L13" s="176"/>
      <x:c r="M13" s="176"/>
      <x:c r="N13" s="176"/>
      <x:c r="O13" s="176"/>
      <x:c r="P13" s="176"/>
      <x:c r="Q13" s="176"/>
      <x:c r="R13" s="176"/>
      <x:c r="S13" s="176"/>
      <x:c r="T13" s="176"/>
      <x:c r="U13" s="176"/>
      <x:c r="V13" s="176"/>
      <x:c r="W13" s="176"/>
      <x:c r="X13" s="176"/>
    </x:row>
    <x:row r="14">
      <x:c r="A14" s="179" t="str">
        <x:v>Check</x:v>
      </x:c>
      <x:c r="B14" s="180" t="str">
        <x:v>Expected result</x:v>
      </x:c>
      <x:c r="C14" s="176"/>
      <x:c r="D14" s="248" t="str">
        <x:v>Pseudo Final</x:v>
      </x:c>
      <x:c r="E14" s="250" t="n">
        <x:f>COUNTIF('Full Dex'!F3:F189,D14)</x:f>
        <x:v>2</x:v>
      </x:c>
      <x:c r="F14" s="249" t="n">
        <x:f>IF(E14=0,0,AVERAGEIF('Full Dex'!F3:F189,D14,'Full Dex'!Q3:Q189))</x:f>
        <x:v>600</x:v>
      </x:c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  <x:c r="R14" s="176"/>
      <x:c r="S14" s="176"/>
      <x:c r="T14" s="176"/>
      <x:c r="U14" s="176"/>
      <x:c r="V14" s="176"/>
      <x:c r="W14" s="176"/>
      <x:c r="X14" s="176"/>
    </x:row>
    <x:row r="15">
      <x:c r="A15" s="248" t="str">
        <x:v>All species present</x:v>
      </x:c>
      <x:c r="B15" s="253" t="str">
        <x:v>187</x:v>
      </x:c>
      <x:c r="C15" s="176"/>
      <x:c r="D15" s="248" t="str">
        <x:v>Legendary Watcher</x:v>
      </x:c>
      <x:c r="E15" s="250" t="n">
        <x:f>COUNTIF('Full Dex'!F3:F189,D15)</x:f>
        <x:v>3</x:v>
      </x:c>
      <x:c r="F15" s="249" t="n">
        <x:f>IF(E15=0,0,AVERAGEIF('Full Dex'!F3:F189,D15,'Full Dex'!Q3:Q189))</x:f>
        <x:v>580</x:v>
      </x:c>
      <x:c r="G15" s="176"/>
      <x:c r="H15" s="176"/>
      <x:c r="I15" s="176"/>
      <x:c r="J15" s="176"/>
      <x:c r="K15" s="176"/>
      <x:c r="L15" s="176"/>
      <x:c r="M15" s="176"/>
      <x:c r="N15" s="176"/>
      <x:c r="O15" s="176"/>
      <x:c r="P15" s="176"/>
      <x:c r="Q15" s="176"/>
      <x:c r="R15" s="176"/>
      <x:c r="S15" s="176"/>
      <x:c r="T15" s="176"/>
      <x:c r="U15" s="176"/>
      <x:c r="V15" s="176"/>
      <x:c r="W15" s="176"/>
      <x:c r="X15" s="176"/>
    </x:row>
    <x:row r="16">
      <x:c r="A16" s="248" t="str">
        <x:v>Every stat cell numeric</x:v>
      </x:c>
      <x:c r="B16" s="253" t="str">
        <x:v>6 stats × 187</x:v>
      </x:c>
      <x:c r="C16" s="176"/>
      <x:c r="D16" s="248" t="str">
        <x:v>Mythic</x:v>
      </x:c>
      <x:c r="E16" s="250" t="n">
        <x:f>COUNTIF('Full Dex'!F3:F189,D16)</x:f>
        <x:v>5</x:v>
      </x:c>
      <x:c r="F16" s="249" t="n">
        <x:f>IF(E16=0,0,AVERAGEIF('Full Dex'!F3:F189,D16,'Full Dex'!Q3:Q189))</x:f>
        <x:v>600</x:v>
      </x:c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  <x:c r="R16" s="176"/>
      <x:c r="S16" s="176"/>
      <x:c r="T16" s="176"/>
      <x:c r="U16" s="176"/>
      <x:c r="V16" s="176"/>
      <x:c r="W16" s="176"/>
      <x:c r="X16" s="176"/>
    </x:row>
    <x:row r="17">
      <x:c r="A17" s="248" t="str">
        <x:v>BST Delta</x:v>
      </x:c>
      <x:c r="B17" s="253" t="str">
        <x:v>0 for every species</x:v>
      </x:c>
      <x:c r="C17" s="176"/>
      <x:c r="D17" s="251" t="str">
        <x:v>Box Legendary</x:v>
      </x:c>
      <x:c r="E17" s="254" t="n">
        <x:f>COUNTIF('Full Dex'!F3:F189,D17)</x:f>
        <x:v>2</x:v>
      </x:c>
      <x:c r="F17" s="252" t="n">
        <x:f>IF(E17=0,0,AVERAGEIF('Full Dex'!F3:F189,D17,'Full Dex'!Q3:Q189))</x:f>
        <x:v>680</x:v>
      </x:c>
      <x:c r="G17" s="176"/>
      <x:c r="H17" s="176"/>
      <x:c r="I17" s="176"/>
      <x:c r="J17" s="176"/>
      <x:c r="K17" s="176"/>
      <x:c r="L17" s="176"/>
      <x:c r="M17" s="176"/>
      <x:c r="N17" s="176"/>
      <x:c r="O17" s="176"/>
      <x:c r="P17" s="176"/>
      <x:c r="Q17" s="176"/>
      <x:c r="R17" s="176"/>
      <x:c r="S17" s="176"/>
      <x:c r="T17" s="176"/>
      <x:c r="U17" s="176"/>
      <x:c r="V17" s="176"/>
      <x:c r="W17" s="176"/>
      <x:c r="X17" s="176"/>
    </x:row>
    <x:row r="18">
      <x:c r="A18" s="248" t="str">
        <x:v>Watchers</x:v>
      </x:c>
      <x:c r="B18" s="253" t="str">
        <x:v>580 BST</x:v>
      </x:c>
      <x:c r="C18" s="176"/>
      <x:c r="D18" s="176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  <x:c r="R18" s="176"/>
      <x:c r="S18" s="176"/>
      <x:c r="T18" s="176"/>
      <x:c r="U18" s="176"/>
      <x:c r="V18" s="176"/>
      <x:c r="W18" s="176"/>
      <x:c r="X18" s="176"/>
    </x:row>
    <x:row r="19">
      <x:c r="A19" s="251" t="str">
        <x:v>Box legends</x:v>
      </x:c>
      <x:c r="B19" s="255" t="str">
        <x:v>680 BST</x:v>
      </x:c>
      <x:c r="C19" s="176"/>
      <x:c r="D19" s="176"/>
      <x:c r="E19" s="176"/>
      <x:c r="F19" s="176"/>
      <x:c r="G19" s="176"/>
      <x:c r="H19" s="176"/>
      <x:c r="I19" s="176"/>
      <x:c r="J19" s="176"/>
      <x:c r="K19" s="176"/>
      <x:c r="L19" s="176"/>
      <x:c r="M19" s="176"/>
      <x:c r="N19" s="176"/>
      <x:c r="O19" s="176"/>
      <x:c r="P19" s="176"/>
      <x:c r="Q19" s="176"/>
      <x:c r="R19" s="176"/>
      <x:c r="S19" s="176"/>
      <x:c r="T19" s="176"/>
      <x:c r="U19" s="176"/>
      <x:c r="V19" s="176"/>
      <x:c r="W19" s="176"/>
      <x:c r="X19" s="176"/>
    </x:row>
    <x:row r="20">
      <x:c r="A20" s="176"/>
      <x:c r="B20" s="176"/>
      <x:c r="C20" s="176"/>
      <x:c r="D20" s="176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  <x:c r="R20" s="176"/>
      <x:c r="S20" s="176"/>
      <x:c r="T20" s="176"/>
      <x:c r="U20" s="176"/>
      <x:c r="V20" s="176"/>
      <x:c r="W20" s="176"/>
      <x:c r="X20" s="176"/>
    </x:row>
    <x:row r="2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6"/>
      <x:c r="M21" s="176"/>
      <x:c r="N21" s="176"/>
      <x:c r="O21" s="176"/>
      <x:c r="P21" s="176"/>
      <x:c r="Q21" s="176"/>
      <x:c r="R21" s="176"/>
      <x:c r="S21" s="176"/>
      <x:c r="T21" s="176"/>
      <x:c r="U21" s="176"/>
      <x:c r="V21" s="176"/>
      <x:c r="W21" s="176"/>
      <x:c r="X21" s="176"/>
    </x:row>
    <x:row r="22">
      <x:c r="A22" s="176"/>
      <x:c r="B22" s="176"/>
      <x:c r="C22" s="176"/>
      <x:c r="D22" s="176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  <x:c r="R22" s="176"/>
      <x:c r="S22" s="176"/>
      <x:c r="T22" s="176"/>
      <x:c r="U22" s="176"/>
      <x:c r="V22" s="176"/>
      <x:c r="W22" s="176"/>
      <x:c r="X22" s="176"/>
    </x:row>
    <x:row r="23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6"/>
      <x:c r="M23" s="176"/>
      <x:c r="N23" s="176"/>
      <x:c r="O23" s="176"/>
      <x:c r="P23" s="176"/>
      <x:c r="Q23" s="176"/>
      <x:c r="R23" s="176"/>
      <x:c r="S23" s="176"/>
      <x:c r="T23" s="176"/>
      <x:c r="U23" s="176"/>
      <x:c r="V23" s="176"/>
      <x:c r="W23" s="176"/>
      <x:c r="X23" s="176"/>
    </x:row>
    <x:row r="24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  <x:c r="S24" s="176"/>
      <x:c r="T24" s="176"/>
      <x:c r="U24" s="176"/>
      <x:c r="V24" s="176"/>
      <x:c r="W24" s="176"/>
      <x:c r="X24" s="176"/>
    </x:row>
    <x:row r="25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  <x:c r="S25" s="176"/>
      <x:c r="T25" s="176"/>
      <x:c r="U25" s="176"/>
      <x:c r="V25" s="176"/>
      <x:c r="W25" s="176"/>
      <x:c r="X25" s="176"/>
    </x:row>
    <x:row r="26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  <x:c r="R26" s="176"/>
      <x:c r="S26" s="176"/>
      <x:c r="T26" s="176"/>
      <x:c r="U26" s="176"/>
      <x:c r="V26" s="176"/>
      <x:c r="W26" s="176"/>
      <x:c r="X26" s="176"/>
    </x:row>
    <x:row r="27">
      <x:c r="A27" s="176"/>
      <x:c r="B27" s="176"/>
      <x:c r="C27" s="176"/>
      <x:c r="D27" s="176"/>
      <x:c r="E27" s="176"/>
      <x:c r="F27" s="176"/>
      <x:c r="G27" s="176"/>
      <x:c r="H27" s="176"/>
      <x:c r="I27" s="176"/>
      <x:c r="J27" s="176"/>
      <x:c r="K27" s="176"/>
      <x:c r="L27" s="176"/>
      <x:c r="M27" s="176"/>
      <x:c r="N27" s="176"/>
      <x:c r="O27" s="176"/>
      <x:c r="P27" s="176"/>
      <x:c r="Q27" s="176"/>
      <x:c r="R27" s="176"/>
      <x:c r="S27" s="176"/>
      <x:c r="T27" s="176"/>
      <x:c r="U27" s="176"/>
      <x:c r="V27" s="176"/>
      <x:c r="W27" s="176"/>
      <x:c r="X27" s="176"/>
    </x:row>
    <x:row r="28">
      <x:c r="A28" s="176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  <x:c r="R28" s="176"/>
      <x:c r="S28" s="176"/>
      <x:c r="T28" s="176"/>
      <x:c r="U28" s="176"/>
      <x:c r="V28" s="176"/>
      <x:c r="W28" s="176"/>
      <x:c r="X28" s="176"/>
    </x:row>
    <x:row r="29">
      <x:c r="A29" s="176"/>
      <x:c r="B29" s="176"/>
      <x:c r="C29" s="176"/>
      <x:c r="D29" s="176"/>
      <x:c r="E29" s="176"/>
      <x:c r="F29" s="176"/>
      <x:c r="G29" s="176"/>
      <x:c r="H29" s="176"/>
      <x:c r="I29" s="176"/>
      <x:c r="J29" s="176"/>
      <x:c r="K29" s="176"/>
      <x:c r="L29" s="176"/>
      <x:c r="M29" s="176"/>
      <x:c r="N29" s="176"/>
      <x:c r="O29" s="176"/>
      <x:c r="P29" s="176"/>
      <x:c r="Q29" s="176"/>
      <x:c r="R29" s="176"/>
      <x:c r="S29" s="176"/>
      <x:c r="T29" s="176"/>
      <x:c r="U29" s="176"/>
      <x:c r="V29" s="176"/>
      <x:c r="W29" s="176"/>
      <x:c r="X29" s="176"/>
    </x:row>
    <x:row r="30">
      <x:c r="A30" s="176"/>
      <x:c r="B30" s="176"/>
      <x:c r="C30" s="176"/>
      <x:c r="D30" s="176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  <x:c r="R30" s="176"/>
      <x:c r="S30" s="176"/>
      <x:c r="T30" s="176"/>
      <x:c r="U30" s="176"/>
      <x:c r="V30" s="176"/>
      <x:c r="W30" s="176"/>
      <x:c r="X30" s="176"/>
    </x:row>
    <x:row r="31">
      <x:c r="A31" s="176"/>
      <x:c r="B31" s="176"/>
      <x:c r="C31" s="176"/>
      <x:c r="D31" s="176"/>
      <x:c r="E31" s="176"/>
      <x:c r="F31" s="176"/>
      <x:c r="G31" s="176"/>
      <x:c r="H31" s="176"/>
      <x:c r="I31" s="176"/>
      <x:c r="J31" s="176"/>
      <x:c r="K31" s="176"/>
      <x:c r="L31" s="176"/>
      <x:c r="M31" s="176"/>
      <x:c r="N31" s="176"/>
      <x:c r="O31" s="176"/>
      <x:c r="P31" s="176"/>
      <x:c r="Q31" s="176"/>
      <x:c r="R31" s="176"/>
      <x:c r="S31" s="176"/>
      <x:c r="T31" s="176"/>
      <x:c r="U31" s="176"/>
      <x:c r="V31" s="176"/>
      <x:c r="W31" s="176"/>
      <x:c r="X31" s="176"/>
    </x:row>
    <x:row r="32">
      <x:c r="A32" s="176"/>
      <x:c r="B32" s="176"/>
      <x:c r="C32" s="176"/>
      <x:c r="D32" s="176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  <x:c r="R32" s="176"/>
      <x:c r="S32" s="176"/>
      <x:c r="T32" s="176"/>
      <x:c r="U32" s="176"/>
      <x:c r="V32" s="176"/>
      <x:c r="W32" s="176"/>
      <x:c r="X32" s="176"/>
    </x:row>
    <x:row r="33">
      <x:c r="A33" s="176"/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6"/>
      <x:c r="M33" s="176"/>
      <x:c r="N33" s="176"/>
      <x:c r="O33" s="176"/>
      <x:c r="P33" s="176"/>
      <x:c r="Q33" s="176"/>
      <x:c r="R33" s="176"/>
      <x:c r="S33" s="176"/>
      <x:c r="T33" s="176"/>
      <x:c r="U33" s="176"/>
      <x:c r="V33" s="176"/>
      <x:c r="W33" s="176"/>
      <x:c r="X33" s="176"/>
    </x:row>
    <x:row r="34">
      <x:c r="A34" s="176"/>
      <x:c r="B34" s="176"/>
      <x:c r="C34" s="176"/>
      <x:c r="D34" s="176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  <x:c r="R34" s="176"/>
      <x:c r="S34" s="176"/>
      <x:c r="T34" s="176"/>
      <x:c r="U34" s="176"/>
      <x:c r="V34" s="176"/>
      <x:c r="W34" s="176"/>
      <x:c r="X34" s="176"/>
    </x:row>
    <x:row r="35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6"/>
      <x:c r="K35" s="176"/>
      <x:c r="L35" s="176"/>
      <x:c r="M35" s="176"/>
      <x:c r="N35" s="176"/>
      <x:c r="O35" s="176"/>
      <x:c r="P35" s="176"/>
      <x:c r="Q35" s="176"/>
      <x:c r="R35" s="176"/>
      <x:c r="S35" s="176"/>
      <x:c r="T35" s="176"/>
      <x:c r="U35" s="176"/>
      <x:c r="V35" s="176"/>
      <x:c r="W35" s="176"/>
      <x:c r="X35" s="176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6"/>
      <x:c r="M36" s="176"/>
      <x:c r="N36" s="176"/>
      <x:c r="O36" s="176"/>
      <x:c r="P36" s="176"/>
      <x:c r="Q36" s="176"/>
      <x:c r="R36" s="176"/>
      <x:c r="S36" s="176"/>
      <x:c r="T36" s="176"/>
      <x:c r="U36" s="176"/>
      <x:c r="V36" s="176"/>
      <x:c r="W36" s="176"/>
      <x:c r="X36" s="176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6"/>
      <x:c r="M37" s="176"/>
      <x:c r="N37" s="176"/>
      <x:c r="O37" s="176"/>
      <x:c r="P37" s="176"/>
      <x:c r="Q37" s="176"/>
      <x:c r="R37" s="176"/>
      <x:c r="S37" s="176"/>
      <x:c r="T37" s="176"/>
      <x:c r="U37" s="176"/>
      <x:c r="V37" s="176"/>
      <x:c r="W37" s="176"/>
      <x:c r="X37" s="176"/>
    </x:row>
    <x:row r="38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6"/>
      <x:c r="M38" s="176"/>
      <x:c r="N38" s="176"/>
      <x:c r="O38" s="176"/>
      <x:c r="P38" s="176"/>
      <x:c r="Q38" s="176"/>
      <x:c r="R38" s="176"/>
      <x:c r="S38" s="176"/>
      <x:c r="T38" s="176"/>
      <x:c r="U38" s="176"/>
      <x:c r="V38" s="176"/>
      <x:c r="W38" s="176"/>
      <x:c r="X38" s="176"/>
    </x:row>
    <x:row r="39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6"/>
      <x:c r="K39" s="176"/>
      <x:c r="L39" s="176"/>
      <x:c r="M39" s="176"/>
      <x:c r="N39" s="176"/>
      <x:c r="O39" s="176"/>
      <x:c r="P39" s="176"/>
      <x:c r="Q39" s="176"/>
      <x:c r="R39" s="176"/>
      <x:c r="S39" s="176"/>
      <x:c r="T39" s="176"/>
      <x:c r="U39" s="176"/>
      <x:c r="V39" s="176"/>
      <x:c r="W39" s="176"/>
      <x:c r="X39" s="176"/>
    </x:row>
    <x:row r="40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6"/>
      <x:c r="M40" s="176"/>
      <x:c r="N40" s="176"/>
      <x:c r="O40" s="176"/>
      <x:c r="P40" s="176"/>
      <x:c r="Q40" s="176"/>
      <x:c r="R40" s="176"/>
      <x:c r="S40" s="176"/>
      <x:c r="T40" s="176"/>
      <x:c r="U40" s="176"/>
      <x:c r="V40" s="176"/>
      <x:c r="W40" s="176"/>
      <x:c r="X40" s="176"/>
    </x:row>
    <x:row r="41">
      <x:c r="A41" s="176"/>
      <x:c r="B41" s="176"/>
      <x:c r="C41" s="176"/>
      <x:c r="D41" s="176"/>
      <x:c r="E41" s="176"/>
      <x:c r="F41" s="176"/>
      <x:c r="G41" s="176"/>
      <x:c r="H41" s="176"/>
      <x:c r="I41" s="176"/>
      <x:c r="J41" s="176"/>
      <x:c r="K41" s="176"/>
      <x:c r="L41" s="176"/>
      <x:c r="M41" s="176"/>
      <x:c r="N41" s="176"/>
      <x:c r="O41" s="176"/>
      <x:c r="P41" s="176"/>
      <x:c r="Q41" s="176"/>
      <x:c r="R41" s="176"/>
      <x:c r="S41" s="176"/>
      <x:c r="T41" s="176"/>
      <x:c r="U41" s="176"/>
      <x:c r="V41" s="176"/>
      <x:c r="W41" s="176"/>
      <x:c r="X41" s="176"/>
    </x:row>
    <x:row r="42">
      <x:c r="A42" s="176"/>
      <x:c r="B42" s="176"/>
      <x:c r="C42" s="176"/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6"/>
      <x:c r="N42" s="176"/>
      <x:c r="O42" s="176"/>
      <x:c r="P42" s="176"/>
      <x:c r="Q42" s="176"/>
      <x:c r="R42" s="176"/>
      <x:c r="S42" s="176"/>
      <x:c r="T42" s="176"/>
      <x:c r="U42" s="176"/>
      <x:c r="V42" s="176"/>
      <x:c r="W42" s="176"/>
      <x:c r="X42" s="176"/>
    </x:row>
    <x:row r="43">
      <x:c r="A43" s="176"/>
      <x:c r="B43" s="176"/>
      <x:c r="C43" s="176"/>
      <x:c r="D43" s="176"/>
      <x:c r="E43" s="176"/>
      <x:c r="F43" s="176"/>
      <x:c r="G43" s="176"/>
      <x:c r="H43" s="176"/>
      <x:c r="I43" s="176"/>
      <x:c r="J43" s="176"/>
      <x:c r="K43" s="176"/>
      <x:c r="L43" s="176"/>
      <x:c r="M43" s="176"/>
      <x:c r="N43" s="176"/>
      <x:c r="O43" s="176"/>
      <x:c r="P43" s="176"/>
      <x:c r="Q43" s="176"/>
      <x:c r="R43" s="176"/>
      <x:c r="S43" s="176"/>
      <x:c r="T43" s="176"/>
      <x:c r="U43" s="176"/>
      <x:c r="V43" s="176"/>
      <x:c r="W43" s="176"/>
      <x:c r="X43" s="176"/>
    </x:row>
    <x:row r="44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6"/>
      <x:c r="M44" s="176"/>
      <x:c r="N44" s="176"/>
      <x:c r="O44" s="176"/>
      <x:c r="P44" s="176"/>
      <x:c r="Q44" s="176"/>
      <x:c r="R44" s="176"/>
      <x:c r="S44" s="176"/>
      <x:c r="T44" s="176"/>
      <x:c r="U44" s="176"/>
      <x:c r="V44" s="176"/>
      <x:c r="W44" s="176"/>
      <x:c r="X44" s="176"/>
    </x:row>
    <x:row r="45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6"/>
      <x:c r="N45" s="176"/>
      <x:c r="O45" s="176"/>
      <x:c r="P45" s="176"/>
      <x:c r="Q45" s="176"/>
      <x:c r="R45" s="176"/>
      <x:c r="S45" s="176"/>
      <x:c r="T45" s="176"/>
      <x:c r="U45" s="176"/>
      <x:c r="V45" s="176"/>
      <x:c r="W45" s="176"/>
      <x:c r="X45" s="176"/>
    </x:row>
    <x:row r="46">
      <x:c r="A46" s="176"/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6"/>
      <x:c r="N46" s="176"/>
      <x:c r="O46" s="176"/>
      <x:c r="P46" s="176"/>
      <x:c r="Q46" s="176"/>
      <x:c r="R46" s="176"/>
      <x:c r="S46" s="176"/>
      <x:c r="T46" s="176"/>
      <x:c r="U46" s="176"/>
      <x:c r="V46" s="176"/>
      <x:c r="W46" s="176"/>
      <x:c r="X46" s="176"/>
    </x:row>
    <x:row r="47">
      <x:c r="A47" s="176"/>
      <x:c r="B47" s="176"/>
      <x:c r="C47" s="176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6"/>
      <x:c r="N47" s="176"/>
      <x:c r="O47" s="176"/>
      <x:c r="P47" s="176"/>
      <x:c r="Q47" s="176"/>
      <x:c r="R47" s="176"/>
      <x:c r="S47" s="176"/>
      <x:c r="T47" s="176"/>
      <x:c r="U47" s="176"/>
      <x:c r="V47" s="176"/>
      <x:c r="W47" s="176"/>
      <x:c r="X47" s="176"/>
    </x:row>
    <x:row r="48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6"/>
      <x:c r="N48" s="176"/>
      <x:c r="O48" s="176"/>
      <x:c r="P48" s="176"/>
      <x:c r="Q48" s="176"/>
      <x:c r="R48" s="176"/>
      <x:c r="S48" s="176"/>
      <x:c r="T48" s="176"/>
      <x:c r="U48" s="176"/>
      <x:c r="V48" s="176"/>
      <x:c r="W48" s="176"/>
      <x:c r="X48" s="176"/>
    </x:row>
    <x:row r="49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6"/>
      <x:c r="N49" s="176"/>
      <x:c r="O49" s="176"/>
      <x:c r="P49" s="176"/>
      <x:c r="Q49" s="176"/>
      <x:c r="R49" s="176"/>
      <x:c r="S49" s="176"/>
      <x:c r="T49" s="176"/>
      <x:c r="U49" s="176"/>
      <x:c r="V49" s="176"/>
      <x:c r="W49" s="176"/>
      <x:c r="X49" s="176"/>
    </x:row>
    <x:row r="50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6"/>
      <x:c r="N50" s="176"/>
      <x:c r="O50" s="176"/>
      <x:c r="P50" s="176"/>
      <x:c r="Q50" s="176"/>
      <x:c r="R50" s="176"/>
      <x:c r="S50" s="176"/>
      <x:c r="T50" s="176"/>
      <x:c r="U50" s="176"/>
      <x:c r="V50" s="176"/>
      <x:c r="W50" s="176"/>
      <x:c r="X50" s="176"/>
    </x:row>
    <x:row r="5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6"/>
      <x:c r="M51" s="176"/>
      <x:c r="N51" s="176"/>
      <x:c r="O51" s="176"/>
      <x:c r="P51" s="176"/>
      <x:c r="Q51" s="176"/>
      <x:c r="R51" s="176"/>
      <x:c r="S51" s="176"/>
      <x:c r="T51" s="176"/>
      <x:c r="U51" s="176"/>
      <x:c r="V51" s="176"/>
      <x:c r="W51" s="176"/>
      <x:c r="X51" s="176"/>
    </x:row>
    <x:row r="52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6"/>
      <x:c r="N52" s="176"/>
      <x:c r="O52" s="176"/>
      <x:c r="P52" s="176"/>
      <x:c r="Q52" s="176"/>
      <x:c r="R52" s="176"/>
      <x:c r="S52" s="176"/>
      <x:c r="T52" s="176"/>
      <x:c r="U52" s="176"/>
      <x:c r="V52" s="176"/>
      <x:c r="W52" s="176"/>
      <x:c r="X52" s="176"/>
    </x:row>
    <x:row r="53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6"/>
      <x:c r="N53" s="176"/>
      <x:c r="O53" s="176"/>
      <x:c r="P53" s="176"/>
      <x:c r="Q53" s="176"/>
      <x:c r="R53" s="176"/>
      <x:c r="S53" s="176"/>
      <x:c r="T53" s="176"/>
      <x:c r="U53" s="176"/>
      <x:c r="V53" s="176"/>
      <x:c r="W53" s="176"/>
      <x:c r="X53" s="176"/>
    </x:row>
    <x:row r="54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6"/>
      <x:c r="N54" s="176"/>
      <x:c r="O54" s="176"/>
      <x:c r="P54" s="176"/>
      <x:c r="Q54" s="176"/>
      <x:c r="R54" s="176"/>
      <x:c r="S54" s="176"/>
      <x:c r="T54" s="176"/>
      <x:c r="U54" s="176"/>
      <x:c r="V54" s="176"/>
      <x:c r="W54" s="176"/>
      <x:c r="X54" s="176"/>
    </x:row>
    <x:row r="55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  <x:c r="S55" s="176"/>
      <x:c r="T55" s="176"/>
      <x:c r="U55" s="176"/>
      <x:c r="V55" s="176"/>
      <x:c r="W55" s="176"/>
      <x:c r="X55" s="176"/>
    </x:row>
    <x:row r="56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  <x:c r="S56" s="176"/>
      <x:c r="T56" s="176"/>
      <x:c r="U56" s="176"/>
      <x:c r="V56" s="176"/>
      <x:c r="W56" s="176"/>
      <x:c r="X56" s="176"/>
    </x:row>
    <x:row r="57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  <x:c r="S57" s="176"/>
      <x:c r="T57" s="176"/>
      <x:c r="U57" s="176"/>
      <x:c r="V57" s="176"/>
      <x:c r="W57" s="176"/>
      <x:c r="X57" s="176"/>
    </x:row>
    <x:row r="58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  <x:c r="S58" s="176"/>
      <x:c r="T58" s="176"/>
      <x:c r="U58" s="176"/>
      <x:c r="V58" s="176"/>
      <x:c r="W58" s="176"/>
      <x:c r="X58" s="176"/>
    </x:row>
    <x:row r="59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  <x:c r="S59" s="176"/>
      <x:c r="T59" s="176"/>
      <x:c r="U59" s="176"/>
      <x:c r="V59" s="176"/>
      <x:c r="W59" s="176"/>
      <x:c r="X59" s="176"/>
    </x:row>
    <x:row r="60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  <x:c r="S60" s="176"/>
      <x:c r="T60" s="176"/>
      <x:c r="U60" s="176"/>
      <x:c r="V60" s="176"/>
      <x:c r="W60" s="176"/>
      <x:c r="X60" s="176"/>
    </x:row>
    <x:row r="6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  <x:c r="S61" s="176"/>
      <x:c r="T61" s="176"/>
      <x:c r="U61" s="176"/>
      <x:c r="V61" s="176"/>
      <x:c r="W61" s="176"/>
      <x:c r="X61" s="176"/>
    </x:row>
    <x:row r="62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  <x:c r="S62" s="176"/>
      <x:c r="T62" s="176"/>
      <x:c r="U62" s="176"/>
      <x:c r="V62" s="176"/>
      <x:c r="W62" s="176"/>
      <x:c r="X62" s="176"/>
    </x:row>
    <x:row r="63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  <x:c r="S63" s="176"/>
      <x:c r="T63" s="176"/>
      <x:c r="U63" s="176"/>
      <x:c r="V63" s="176"/>
      <x:c r="W63" s="176"/>
      <x:c r="X63" s="176"/>
    </x:row>
    <x:row r="64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  <x:c r="S64" s="176"/>
      <x:c r="T64" s="176"/>
      <x:c r="U64" s="176"/>
      <x:c r="V64" s="176"/>
      <x:c r="W64" s="176"/>
      <x:c r="X64" s="176"/>
    </x:row>
    <x:row r="6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  <x:c r="S65" s="176"/>
      <x:c r="T65" s="176"/>
      <x:c r="U65" s="176"/>
      <x:c r="V65" s="176"/>
      <x:c r="W65" s="176"/>
      <x:c r="X65" s="176"/>
    </x:row>
    <x:row r="66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  <x:c r="S66" s="176"/>
      <x:c r="T66" s="176"/>
      <x:c r="U66" s="176"/>
      <x:c r="V66" s="176"/>
      <x:c r="W66" s="176"/>
      <x:c r="X66" s="176"/>
    </x:row>
    <x:row r="67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  <x:c r="S67" s="176"/>
      <x:c r="T67" s="176"/>
      <x:c r="U67" s="176"/>
      <x:c r="V67" s="176"/>
      <x:c r="W67" s="176"/>
      <x:c r="X67" s="176"/>
    </x:row>
    <x:row r="68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  <x:c r="S68" s="176"/>
      <x:c r="T68" s="176"/>
      <x:c r="U68" s="176"/>
      <x:c r="V68" s="176"/>
      <x:c r="W68" s="176"/>
      <x:c r="X68" s="176"/>
    </x:row>
    <x:row r="69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  <x:c r="S69" s="176"/>
      <x:c r="T69" s="176"/>
      <x:c r="U69" s="176"/>
      <x:c r="V69" s="176"/>
      <x:c r="W69" s="176"/>
      <x:c r="X69" s="176"/>
    </x:row>
    <x:row r="70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  <x:c r="S70" s="176"/>
      <x:c r="T70" s="176"/>
      <x:c r="U70" s="176"/>
      <x:c r="V70" s="176"/>
      <x:c r="W70" s="176"/>
      <x:c r="X70" s="176"/>
    </x:row>
    <x:row r="7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  <x:c r="S71" s="176"/>
      <x:c r="T71" s="176"/>
      <x:c r="U71" s="176"/>
      <x:c r="V71" s="176"/>
      <x:c r="W71" s="176"/>
      <x:c r="X71" s="176"/>
    </x:row>
    <x:row r="72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  <x:c r="S72" s="176"/>
      <x:c r="T72" s="176"/>
      <x:c r="U72" s="176"/>
      <x:c r="V72" s="176"/>
      <x:c r="W72" s="176"/>
      <x:c r="X72" s="176"/>
    </x:row>
    <x:row r="73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  <x:c r="S73" s="176"/>
      <x:c r="T73" s="176"/>
      <x:c r="U73" s="176"/>
      <x:c r="V73" s="176"/>
      <x:c r="W73" s="176"/>
      <x:c r="X73" s="176"/>
    </x:row>
    <x:row r="74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  <x:c r="S74" s="176"/>
      <x:c r="T74" s="176"/>
      <x:c r="U74" s="176"/>
      <x:c r="V74" s="176"/>
      <x:c r="W74" s="176"/>
      <x:c r="X74" s="176"/>
    </x:row>
    <x:row r="7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  <x:c r="S75" s="176"/>
      <x:c r="T75" s="176"/>
      <x:c r="U75" s="176"/>
      <x:c r="V75" s="176"/>
      <x:c r="W75" s="176"/>
      <x:c r="X75" s="176"/>
    </x:row>
    <x:row r="76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  <x:c r="S76" s="176"/>
      <x:c r="T76" s="176"/>
      <x:c r="U76" s="176"/>
      <x:c r="V76" s="176"/>
      <x:c r="W76" s="176"/>
      <x:c r="X76" s="176"/>
    </x:row>
    <x:row r="77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  <x:c r="S77" s="176"/>
      <x:c r="T77" s="176"/>
      <x:c r="U77" s="176"/>
      <x:c r="V77" s="176"/>
      <x:c r="W77" s="176"/>
      <x:c r="X77" s="176"/>
    </x:row>
    <x:row r="78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  <x:c r="S78" s="176"/>
      <x:c r="T78" s="176"/>
      <x:c r="U78" s="176"/>
      <x:c r="V78" s="176"/>
      <x:c r="W78" s="176"/>
      <x:c r="X78" s="176"/>
    </x:row>
    <x:row r="79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  <x:c r="S79" s="176"/>
      <x:c r="T79" s="176"/>
      <x:c r="U79" s="176"/>
      <x:c r="V79" s="176"/>
      <x:c r="W79" s="176"/>
      <x:c r="X79" s="176"/>
    </x:row>
    <x:row r="80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  <x:c r="S80" s="176"/>
      <x:c r="T80" s="176"/>
      <x:c r="U80" s="176"/>
      <x:c r="V80" s="176"/>
      <x:c r="W80" s="176"/>
      <x:c r="X80" s="176"/>
    </x:row>
    <x:row r="8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  <x:c r="S81" s="176"/>
      <x:c r="T81" s="176"/>
      <x:c r="U81" s="176"/>
      <x:c r="V81" s="176"/>
      <x:c r="W81" s="176"/>
      <x:c r="X81" s="176"/>
    </x:row>
    <x:row r="82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  <x:c r="S82" s="176"/>
      <x:c r="T82" s="176"/>
      <x:c r="U82" s="176"/>
      <x:c r="V82" s="176"/>
      <x:c r="W82" s="176"/>
      <x:c r="X82" s="176"/>
    </x:row>
    <x:row r="83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  <x:c r="S83" s="176"/>
      <x:c r="T83" s="176"/>
      <x:c r="U83" s="176"/>
      <x:c r="V83" s="176"/>
      <x:c r="W83" s="176"/>
      <x:c r="X83" s="176"/>
    </x:row>
    <x:row r="84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  <x:c r="S84" s="176"/>
      <x:c r="T84" s="176"/>
      <x:c r="U84" s="176"/>
      <x:c r="V84" s="176"/>
      <x:c r="W84" s="176"/>
      <x:c r="X84" s="176"/>
    </x:row>
    <x:row r="8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  <x:c r="S85" s="176"/>
      <x:c r="T85" s="176"/>
      <x:c r="U85" s="176"/>
      <x:c r="V85" s="176"/>
      <x:c r="W85" s="176"/>
      <x:c r="X85" s="176"/>
    </x:row>
    <x:row r="86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  <x:c r="S86" s="176"/>
      <x:c r="T86" s="176"/>
      <x:c r="U86" s="176"/>
      <x:c r="V86" s="176"/>
      <x:c r="W86" s="176"/>
      <x:c r="X86" s="176"/>
    </x:row>
    <x:row r="87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  <x:c r="S87" s="176"/>
      <x:c r="T87" s="176"/>
      <x:c r="U87" s="176"/>
      <x:c r="V87" s="176"/>
      <x:c r="W87" s="176"/>
      <x:c r="X87" s="176"/>
    </x:row>
    <x:row r="88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  <x:c r="S88" s="176"/>
      <x:c r="T88" s="176"/>
      <x:c r="U88" s="176"/>
      <x:c r="V88" s="176"/>
      <x:c r="W88" s="176"/>
      <x:c r="X88" s="176"/>
    </x:row>
    <x:row r="89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  <x:c r="S89" s="176"/>
      <x:c r="T89" s="176"/>
      <x:c r="U89" s="176"/>
      <x:c r="V89" s="176"/>
      <x:c r="W89" s="176"/>
      <x:c r="X89" s="176"/>
    </x:row>
    <x:row r="90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  <x:c r="S90" s="176"/>
      <x:c r="T90" s="176"/>
      <x:c r="U90" s="176"/>
      <x:c r="V90" s="176"/>
      <x:c r="W90" s="176"/>
      <x:c r="X90" s="176"/>
    </x:row>
    <x:row r="9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  <x:c r="S91" s="176"/>
      <x:c r="T91" s="176"/>
      <x:c r="U91" s="176"/>
      <x:c r="V91" s="176"/>
      <x:c r="W91" s="176"/>
      <x:c r="X91" s="176"/>
    </x:row>
    <x:row r="92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  <x:c r="S92" s="176"/>
      <x:c r="T92" s="176"/>
      <x:c r="U92" s="176"/>
      <x:c r="V92" s="176"/>
      <x:c r="W92" s="176"/>
      <x:c r="X92" s="176"/>
    </x:row>
    <x:row r="93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  <x:c r="S93" s="176"/>
      <x:c r="T93" s="176"/>
      <x:c r="U93" s="176"/>
      <x:c r="V93" s="176"/>
      <x:c r="W93" s="176"/>
      <x:c r="X93" s="176"/>
    </x:row>
    <x:row r="94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  <x:c r="S94" s="176"/>
      <x:c r="T94" s="176"/>
      <x:c r="U94" s="176"/>
      <x:c r="V94" s="176"/>
      <x:c r="W94" s="176"/>
      <x:c r="X94" s="176"/>
    </x:row>
    <x:row r="9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  <x:c r="S95" s="176"/>
      <x:c r="T95" s="176"/>
      <x:c r="U95" s="176"/>
      <x:c r="V95" s="176"/>
      <x:c r="W95" s="176"/>
      <x:c r="X95" s="176"/>
    </x:row>
    <x:row r="96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  <x:c r="S96" s="176"/>
      <x:c r="T96" s="176"/>
      <x:c r="U96" s="176"/>
      <x:c r="V96" s="176"/>
      <x:c r="W96" s="176"/>
      <x:c r="X96" s="176"/>
    </x:row>
    <x:row r="97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  <x:c r="S97" s="176"/>
      <x:c r="T97" s="176"/>
      <x:c r="U97" s="176"/>
      <x:c r="V97" s="176"/>
      <x:c r="W97" s="176"/>
      <x:c r="X97" s="176"/>
    </x:row>
    <x:row r="98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  <x:c r="S98" s="176"/>
      <x:c r="T98" s="176"/>
      <x:c r="U98" s="176"/>
      <x:c r="V98" s="176"/>
      <x:c r="W98" s="176"/>
      <x:c r="X98" s="176"/>
    </x:row>
    <x:row r="99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  <x:c r="S99" s="176"/>
      <x:c r="T99" s="176"/>
      <x:c r="U99" s="176"/>
      <x:c r="V99" s="176"/>
      <x:c r="W99" s="176"/>
      <x:c r="X99" s="176"/>
    </x:row>
    <x:row r="100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  <x:c r="S100" s="176"/>
      <x:c r="T100" s="176"/>
      <x:c r="U100" s="176"/>
      <x:c r="V100" s="176"/>
      <x:c r="W100" s="176"/>
      <x:c r="X100" s="176"/>
    </x:row>
    <x:row r="10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  <x:c r="S101" s="176"/>
      <x:c r="T101" s="176"/>
      <x:c r="U101" s="176"/>
      <x:c r="V101" s="176"/>
      <x:c r="W101" s="176"/>
      <x:c r="X101" s="176"/>
    </x:row>
    <x:row r="102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  <x:c r="S102" s="176"/>
      <x:c r="T102" s="176"/>
      <x:c r="U102" s="176"/>
      <x:c r="V102" s="176"/>
      <x:c r="W102" s="176"/>
      <x:c r="X102" s="176"/>
    </x:row>
    <x:row r="103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  <x:c r="S103" s="176"/>
      <x:c r="T103" s="176"/>
      <x:c r="U103" s="176"/>
      <x:c r="V103" s="176"/>
      <x:c r="W103" s="176"/>
      <x:c r="X103" s="176"/>
    </x:row>
    <x:row r="104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  <x:c r="S104" s="176"/>
      <x:c r="T104" s="176"/>
      <x:c r="U104" s="176"/>
      <x:c r="V104" s="176"/>
      <x:c r="W104" s="176"/>
      <x:c r="X104" s="176"/>
    </x:row>
    <x:row r="10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  <x:c r="S105" s="176"/>
      <x:c r="T105" s="176"/>
      <x:c r="U105" s="176"/>
      <x:c r="V105" s="176"/>
      <x:c r="W105" s="176"/>
      <x:c r="X105" s="176"/>
    </x:row>
    <x:row r="106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  <x:c r="S106" s="176"/>
      <x:c r="T106" s="176"/>
      <x:c r="U106" s="176"/>
      <x:c r="V106" s="176"/>
      <x:c r="W106" s="176"/>
      <x:c r="X106" s="176"/>
    </x:row>
    <x:row r="107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  <x:c r="S107" s="176"/>
      <x:c r="T107" s="176"/>
      <x:c r="U107" s="176"/>
      <x:c r="V107" s="176"/>
      <x:c r="W107" s="176"/>
      <x:c r="X107" s="176"/>
    </x:row>
    <x:row r="108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  <x:c r="S108" s="176"/>
      <x:c r="T108" s="176"/>
      <x:c r="U108" s="176"/>
      <x:c r="V108" s="176"/>
      <x:c r="W108" s="176"/>
      <x:c r="X108" s="176"/>
    </x:row>
    <x:row r="109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  <x:c r="S109" s="176"/>
      <x:c r="T109" s="176"/>
      <x:c r="U109" s="176"/>
      <x:c r="V109" s="176"/>
      <x:c r="W109" s="176"/>
      <x:c r="X109" s="176"/>
    </x:row>
    <x:row r="110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  <x:c r="S110" s="176"/>
      <x:c r="T110" s="176"/>
      <x:c r="U110" s="176"/>
      <x:c r="V110" s="176"/>
      <x:c r="W110" s="176"/>
      <x:c r="X110" s="176"/>
    </x:row>
    <x:row r="11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  <x:c r="S111" s="176"/>
      <x:c r="T111" s="176"/>
      <x:c r="U111" s="176"/>
      <x:c r="V111" s="176"/>
      <x:c r="W111" s="176"/>
      <x:c r="X111" s="176"/>
    </x:row>
    <x:row r="112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  <x:c r="S112" s="176"/>
      <x:c r="T112" s="176"/>
      <x:c r="U112" s="176"/>
      <x:c r="V112" s="176"/>
      <x:c r="W112" s="176"/>
      <x:c r="X112" s="176"/>
    </x:row>
    <x:row r="113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  <x:c r="S113" s="176"/>
      <x:c r="T113" s="176"/>
      <x:c r="U113" s="176"/>
      <x:c r="V113" s="176"/>
      <x:c r="W113" s="176"/>
      <x:c r="X113" s="176"/>
    </x:row>
    <x:row r="114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  <x:c r="S114" s="176"/>
      <x:c r="T114" s="176"/>
      <x:c r="U114" s="176"/>
      <x:c r="V114" s="176"/>
      <x:c r="W114" s="176"/>
      <x:c r="X114" s="176"/>
    </x:row>
    <x:row r="11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  <x:c r="S115" s="176"/>
      <x:c r="T115" s="176"/>
      <x:c r="U115" s="176"/>
      <x:c r="V115" s="176"/>
      <x:c r="W115" s="176"/>
      <x:c r="X115" s="176"/>
    </x:row>
    <x:row r="116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  <x:c r="S116" s="176"/>
      <x:c r="T116" s="176"/>
      <x:c r="U116" s="176"/>
      <x:c r="V116" s="176"/>
      <x:c r="W116" s="176"/>
      <x:c r="X116" s="176"/>
    </x:row>
    <x:row r="117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  <x:c r="S117" s="176"/>
      <x:c r="T117" s="176"/>
      <x:c r="U117" s="176"/>
      <x:c r="V117" s="176"/>
      <x:c r="W117" s="176"/>
      <x:c r="X117" s="176"/>
    </x:row>
    <x:row r="118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  <x:c r="S118" s="176"/>
      <x:c r="T118" s="176"/>
      <x:c r="U118" s="176"/>
      <x:c r="V118" s="176"/>
      <x:c r="W118" s="176"/>
      <x:c r="X118" s="176"/>
    </x:row>
    <x:row r="119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  <x:c r="S119" s="176"/>
      <x:c r="T119" s="176"/>
      <x:c r="U119" s="176"/>
      <x:c r="V119" s="176"/>
      <x:c r="W119" s="176"/>
      <x:c r="X119" s="176"/>
    </x:row>
    <x:row r="120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  <x:c r="S120" s="176"/>
      <x:c r="T120" s="176"/>
      <x:c r="U120" s="176"/>
      <x:c r="V120" s="176"/>
      <x:c r="W120" s="176"/>
      <x:c r="X120" s="176"/>
    </x:row>
    <x:row r="12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  <x:c r="S121" s="176"/>
      <x:c r="T121" s="176"/>
      <x:c r="U121" s="176"/>
      <x:c r="V121" s="176"/>
      <x:c r="W121" s="176"/>
      <x:c r="X121" s="176"/>
    </x:row>
    <x:row r="122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  <x:c r="S122" s="176"/>
      <x:c r="T122" s="176"/>
      <x:c r="U122" s="176"/>
      <x:c r="V122" s="176"/>
      <x:c r="W122" s="176"/>
      <x:c r="X122" s="176"/>
    </x:row>
    <x:row r="123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  <x:c r="S123" s="176"/>
      <x:c r="T123" s="176"/>
      <x:c r="U123" s="176"/>
      <x:c r="V123" s="176"/>
      <x:c r="W123" s="176"/>
      <x:c r="X123" s="176"/>
    </x:row>
    <x:row r="124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  <x:c r="S124" s="176"/>
      <x:c r="T124" s="176"/>
      <x:c r="U124" s="176"/>
      <x:c r="V124" s="176"/>
      <x:c r="W124" s="176"/>
      <x:c r="X124" s="176"/>
    </x:row>
    <x:row r="1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  <x:c r="S125" s="176"/>
      <x:c r="T125" s="176"/>
      <x:c r="U125" s="176"/>
      <x:c r="V125" s="176"/>
      <x:c r="W125" s="176"/>
      <x:c r="X125" s="176"/>
    </x:row>
    <x:row r="126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  <x:c r="S126" s="176"/>
      <x:c r="T126" s="176"/>
      <x:c r="U126" s="176"/>
      <x:c r="V126" s="176"/>
      <x:c r="W126" s="176"/>
      <x:c r="X126" s="176"/>
    </x:row>
    <x:row r="127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  <x:c r="S127" s="176"/>
      <x:c r="T127" s="176"/>
      <x:c r="U127" s="176"/>
      <x:c r="V127" s="176"/>
      <x:c r="W127" s="176"/>
      <x:c r="X127" s="176"/>
    </x:row>
    <x:row r="128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  <x:c r="S128" s="176"/>
      <x:c r="T128" s="176"/>
      <x:c r="U128" s="176"/>
      <x:c r="V128" s="176"/>
      <x:c r="W128" s="176"/>
      <x:c r="X128" s="176"/>
    </x:row>
    <x:row r="129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  <x:c r="S129" s="176"/>
      <x:c r="T129" s="176"/>
      <x:c r="U129" s="176"/>
      <x:c r="V129" s="176"/>
      <x:c r="W129" s="176"/>
      <x:c r="X129" s="176"/>
    </x:row>
    <x:row r="130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  <x:c r="S130" s="176"/>
      <x:c r="T130" s="176"/>
      <x:c r="U130" s="176"/>
      <x:c r="V130" s="176"/>
      <x:c r="W130" s="176"/>
      <x:c r="X130" s="176"/>
    </x:row>
    <x:row r="13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  <x:c r="S131" s="176"/>
      <x:c r="T131" s="176"/>
      <x:c r="U131" s="176"/>
      <x:c r="V131" s="176"/>
      <x:c r="W131" s="176"/>
      <x:c r="X131" s="176"/>
    </x:row>
    <x:row r="132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  <x:c r="S132" s="176"/>
      <x:c r="T132" s="176"/>
      <x:c r="U132" s="176"/>
      <x:c r="V132" s="176"/>
      <x:c r="W132" s="176"/>
      <x:c r="X132" s="176"/>
    </x:row>
    <x:row r="133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  <x:c r="S133" s="176"/>
      <x:c r="T133" s="176"/>
      <x:c r="U133" s="176"/>
      <x:c r="V133" s="176"/>
      <x:c r="W133" s="176"/>
      <x:c r="X133" s="176"/>
    </x:row>
    <x:row r="134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  <x:c r="S134" s="176"/>
      <x:c r="T134" s="176"/>
      <x:c r="U134" s="176"/>
      <x:c r="V134" s="176"/>
      <x:c r="W134" s="176"/>
      <x:c r="X134" s="176"/>
    </x:row>
    <x:row r="13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  <x:c r="S135" s="176"/>
      <x:c r="T135" s="176"/>
      <x:c r="U135" s="176"/>
      <x:c r="V135" s="176"/>
      <x:c r="W135" s="176"/>
      <x:c r="X135" s="176"/>
    </x:row>
    <x:row r="136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  <x:c r="S136" s="176"/>
      <x:c r="T136" s="176"/>
      <x:c r="U136" s="176"/>
      <x:c r="V136" s="176"/>
      <x:c r="W136" s="176"/>
      <x:c r="X136" s="176"/>
    </x:row>
    <x:row r="137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  <x:c r="S137" s="176"/>
      <x:c r="T137" s="176"/>
      <x:c r="U137" s="176"/>
      <x:c r="V137" s="176"/>
      <x:c r="W137" s="176"/>
      <x:c r="X137" s="176"/>
    </x:row>
    <x:row r="138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  <x:c r="S138" s="176"/>
      <x:c r="T138" s="176"/>
      <x:c r="U138" s="176"/>
      <x:c r="V138" s="176"/>
      <x:c r="W138" s="176"/>
      <x:c r="X138" s="176"/>
    </x:row>
    <x:row r="139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  <x:c r="S139" s="176"/>
      <x:c r="T139" s="176"/>
      <x:c r="U139" s="176"/>
      <x:c r="V139" s="176"/>
      <x:c r="W139" s="176"/>
      <x:c r="X139" s="176"/>
    </x:row>
    <x:row r="140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  <x:c r="S140" s="176"/>
      <x:c r="T140" s="176"/>
      <x:c r="U140" s="176"/>
      <x:c r="V140" s="176"/>
      <x:c r="W140" s="176"/>
      <x:c r="X140" s="176"/>
    </x:row>
    <x:row r="14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  <x:c r="S141" s="176"/>
      <x:c r="T141" s="176"/>
      <x:c r="U141" s="176"/>
      <x:c r="V141" s="176"/>
      <x:c r="W141" s="176"/>
      <x:c r="X141" s="176"/>
    </x:row>
    <x:row r="142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  <x:c r="S142" s="176"/>
      <x:c r="T142" s="176"/>
      <x:c r="U142" s="176"/>
      <x:c r="V142" s="176"/>
      <x:c r="W142" s="176"/>
      <x:c r="X142" s="176"/>
    </x:row>
    <x:row r="143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  <x:c r="S143" s="176"/>
      <x:c r="T143" s="176"/>
      <x:c r="U143" s="176"/>
      <x:c r="V143" s="176"/>
      <x:c r="W143" s="176"/>
      <x:c r="X143" s="176"/>
    </x:row>
    <x:row r="144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  <x:c r="S144" s="176"/>
      <x:c r="T144" s="176"/>
      <x:c r="U144" s="176"/>
      <x:c r="V144" s="176"/>
      <x:c r="W144" s="176"/>
      <x:c r="X144" s="176"/>
    </x:row>
    <x:row r="14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  <x:c r="S145" s="176"/>
      <x:c r="T145" s="176"/>
      <x:c r="U145" s="176"/>
      <x:c r="V145" s="176"/>
      <x:c r="W145" s="176"/>
      <x:c r="X145" s="176"/>
    </x:row>
    <x:row r="146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6"/>
      <x:c r="N146" s="176"/>
      <x:c r="O146" s="176"/>
      <x:c r="P146" s="176"/>
      <x:c r="Q146" s="176"/>
      <x:c r="R146" s="176"/>
      <x:c r="S146" s="176"/>
      <x:c r="T146" s="176"/>
      <x:c r="U146" s="176"/>
      <x:c r="V146" s="176"/>
      <x:c r="W146" s="176"/>
      <x:c r="X146" s="176"/>
    </x:row>
    <x:row r="147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6"/>
      <x:c r="N147" s="176"/>
      <x:c r="O147" s="176"/>
      <x:c r="P147" s="176"/>
      <x:c r="Q147" s="176"/>
      <x:c r="R147" s="176"/>
      <x:c r="S147" s="176"/>
      <x:c r="T147" s="176"/>
      <x:c r="U147" s="176"/>
      <x:c r="V147" s="176"/>
      <x:c r="W147" s="176"/>
      <x:c r="X147" s="176"/>
    </x:row>
    <x:row r="148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6"/>
      <x:c r="N148" s="176"/>
      <x:c r="O148" s="176"/>
      <x:c r="P148" s="176"/>
      <x:c r="Q148" s="176"/>
      <x:c r="R148" s="176"/>
      <x:c r="S148" s="176"/>
      <x:c r="T148" s="176"/>
      <x:c r="U148" s="176"/>
      <x:c r="V148" s="176"/>
      <x:c r="W148" s="176"/>
      <x:c r="X148" s="176"/>
    </x:row>
    <x:row r="149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6"/>
      <x:c r="N149" s="176"/>
      <x:c r="O149" s="176"/>
      <x:c r="P149" s="176"/>
      <x:c r="Q149" s="176"/>
      <x:c r="R149" s="176"/>
      <x:c r="S149" s="176"/>
      <x:c r="T149" s="176"/>
      <x:c r="U149" s="176"/>
      <x:c r="V149" s="176"/>
      <x:c r="W149" s="176"/>
      <x:c r="X149" s="176"/>
    </x:row>
    <x:row r="150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6"/>
      <x:c r="N150" s="176"/>
      <x:c r="O150" s="176"/>
      <x:c r="P150" s="176"/>
      <x:c r="Q150" s="176"/>
      <x:c r="R150" s="176"/>
      <x:c r="S150" s="176"/>
      <x:c r="T150" s="176"/>
      <x:c r="U150" s="176"/>
      <x:c r="V150" s="176"/>
      <x:c r="W150" s="176"/>
      <x:c r="X150" s="176"/>
    </x:row>
    <x:row r="151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6"/>
      <x:c r="N151" s="176"/>
      <x:c r="O151" s="176"/>
      <x:c r="P151" s="176"/>
      <x:c r="Q151" s="176"/>
      <x:c r="R151" s="176"/>
      <x:c r="S151" s="176"/>
      <x:c r="T151" s="176"/>
      <x:c r="U151" s="176"/>
      <x:c r="V151" s="176"/>
      <x:c r="W151" s="176"/>
      <x:c r="X151" s="176"/>
    </x:row>
    <x:row r="152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6"/>
      <x:c r="N152" s="176"/>
      <x:c r="O152" s="176"/>
      <x:c r="P152" s="176"/>
      <x:c r="Q152" s="176"/>
      <x:c r="R152" s="176"/>
      <x:c r="S152" s="176"/>
      <x:c r="T152" s="176"/>
      <x:c r="U152" s="176"/>
      <x:c r="V152" s="176"/>
      <x:c r="W152" s="176"/>
      <x:c r="X152" s="176"/>
    </x:row>
    <x:row r="153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6"/>
      <x:c r="N153" s="176"/>
      <x:c r="O153" s="176"/>
      <x:c r="P153" s="176"/>
      <x:c r="Q153" s="176"/>
      <x:c r="R153" s="176"/>
      <x:c r="S153" s="176"/>
      <x:c r="T153" s="176"/>
      <x:c r="U153" s="176"/>
      <x:c r="V153" s="176"/>
      <x:c r="W153" s="176"/>
      <x:c r="X153" s="176"/>
    </x:row>
    <x:row r="154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6"/>
      <x:c r="N154" s="176"/>
      <x:c r="O154" s="176"/>
      <x:c r="P154" s="176"/>
      <x:c r="Q154" s="176"/>
      <x:c r="R154" s="176"/>
      <x:c r="S154" s="176"/>
      <x:c r="T154" s="176"/>
      <x:c r="U154" s="176"/>
      <x:c r="V154" s="176"/>
      <x:c r="W154" s="176"/>
      <x:c r="X154" s="176"/>
    </x:row>
    <x:row r="15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6"/>
      <x:c r="N155" s="176"/>
      <x:c r="O155" s="176"/>
      <x:c r="P155" s="176"/>
      <x:c r="Q155" s="176"/>
      <x:c r="R155" s="176"/>
      <x:c r="S155" s="176"/>
      <x:c r="T155" s="176"/>
      <x:c r="U155" s="176"/>
      <x:c r="V155" s="176"/>
      <x:c r="W155" s="176"/>
      <x:c r="X155" s="176"/>
    </x:row>
    <x:row r="156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6"/>
      <x:c r="N156" s="176"/>
      <x:c r="O156" s="176"/>
      <x:c r="P156" s="176"/>
      <x:c r="Q156" s="176"/>
      <x:c r="R156" s="176"/>
      <x:c r="S156" s="176"/>
      <x:c r="T156" s="176"/>
      <x:c r="U156" s="176"/>
      <x:c r="V156" s="176"/>
      <x:c r="W156" s="176"/>
      <x:c r="X156" s="176"/>
    </x:row>
    <x:row r="157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6"/>
      <x:c r="N157" s="176"/>
      <x:c r="O157" s="176"/>
      <x:c r="P157" s="176"/>
      <x:c r="Q157" s="176"/>
      <x:c r="R157" s="176"/>
      <x:c r="S157" s="176"/>
      <x:c r="T157" s="176"/>
      <x:c r="U157" s="176"/>
      <x:c r="V157" s="176"/>
      <x:c r="W157" s="176"/>
      <x:c r="X157" s="176"/>
    </x:row>
    <x:row r="158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6"/>
      <x:c r="N158" s="176"/>
      <x:c r="O158" s="176"/>
      <x:c r="P158" s="176"/>
      <x:c r="Q158" s="176"/>
      <x:c r="R158" s="176"/>
      <x:c r="S158" s="176"/>
      <x:c r="T158" s="176"/>
      <x:c r="U158" s="176"/>
      <x:c r="V158" s="176"/>
      <x:c r="W158" s="176"/>
      <x:c r="X158" s="176"/>
    </x:row>
    <x:row r="159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6"/>
      <x:c r="N159" s="176"/>
      <x:c r="O159" s="176"/>
      <x:c r="P159" s="176"/>
      <x:c r="Q159" s="176"/>
      <x:c r="R159" s="176"/>
      <x:c r="S159" s="176"/>
      <x:c r="T159" s="176"/>
      <x:c r="U159" s="176"/>
      <x:c r="V159" s="176"/>
      <x:c r="W159" s="176"/>
      <x:c r="X159" s="176"/>
    </x:row>
    <x:row r="160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6"/>
      <x:c r="N160" s="176"/>
      <x:c r="O160" s="176"/>
      <x:c r="P160" s="176"/>
      <x:c r="Q160" s="176"/>
      <x:c r="R160" s="176"/>
      <x:c r="S160" s="176"/>
      <x:c r="T160" s="176"/>
      <x:c r="U160" s="176"/>
      <x:c r="V160" s="176"/>
      <x:c r="W160" s="176"/>
      <x:c r="X160" s="176"/>
    </x:row>
    <x:row r="161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6"/>
      <x:c r="N161" s="176"/>
      <x:c r="O161" s="176"/>
      <x:c r="P161" s="176"/>
      <x:c r="Q161" s="176"/>
      <x:c r="R161" s="176"/>
      <x:c r="S161" s="176"/>
      <x:c r="T161" s="176"/>
      <x:c r="U161" s="176"/>
      <x:c r="V161" s="176"/>
      <x:c r="W161" s="176"/>
      <x:c r="X161" s="176"/>
    </x:row>
    <x:row r="162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6"/>
      <x:c r="N162" s="176"/>
      <x:c r="O162" s="176"/>
      <x:c r="P162" s="176"/>
      <x:c r="Q162" s="176"/>
      <x:c r="R162" s="176"/>
      <x:c r="S162" s="176"/>
      <x:c r="T162" s="176"/>
      <x:c r="U162" s="176"/>
      <x:c r="V162" s="176"/>
      <x:c r="W162" s="176"/>
      <x:c r="X162" s="176"/>
    </x:row>
    <x:row r="163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6"/>
      <x:c r="N163" s="176"/>
      <x:c r="O163" s="176"/>
      <x:c r="P163" s="176"/>
      <x:c r="Q163" s="176"/>
      <x:c r="R163" s="176"/>
      <x:c r="S163" s="176"/>
      <x:c r="T163" s="176"/>
      <x:c r="U163" s="176"/>
      <x:c r="V163" s="176"/>
      <x:c r="W163" s="176"/>
      <x:c r="X163" s="176"/>
    </x:row>
    <x:row r="164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6"/>
      <x:c r="N164" s="176"/>
      <x:c r="O164" s="176"/>
      <x:c r="P164" s="176"/>
      <x:c r="Q164" s="176"/>
      <x:c r="R164" s="176"/>
      <x:c r="S164" s="176"/>
      <x:c r="T164" s="176"/>
      <x:c r="U164" s="176"/>
      <x:c r="V164" s="176"/>
      <x:c r="W164" s="176"/>
      <x:c r="X164" s="176"/>
    </x:row>
    <x:row r="16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6"/>
      <x:c r="N165" s="176"/>
      <x:c r="O165" s="176"/>
      <x:c r="P165" s="176"/>
      <x:c r="Q165" s="176"/>
      <x:c r="R165" s="176"/>
      <x:c r="S165" s="176"/>
      <x:c r="T165" s="176"/>
      <x:c r="U165" s="176"/>
      <x:c r="V165" s="176"/>
      <x:c r="W165" s="176"/>
      <x:c r="X165" s="176"/>
    </x:row>
    <x:row r="166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6"/>
      <x:c r="N166" s="176"/>
      <x:c r="O166" s="176"/>
      <x:c r="P166" s="176"/>
      <x:c r="Q166" s="176"/>
      <x:c r="R166" s="176"/>
      <x:c r="S166" s="176"/>
      <x:c r="T166" s="176"/>
      <x:c r="U166" s="176"/>
      <x:c r="V166" s="176"/>
      <x:c r="W166" s="176"/>
      <x:c r="X166" s="176"/>
    </x:row>
    <x:row r="167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6"/>
      <x:c r="N167" s="176"/>
      <x:c r="O167" s="176"/>
      <x:c r="P167" s="176"/>
      <x:c r="Q167" s="176"/>
      <x:c r="R167" s="176"/>
      <x:c r="S167" s="176"/>
      <x:c r="T167" s="176"/>
      <x:c r="U167" s="176"/>
      <x:c r="V167" s="176"/>
      <x:c r="W167" s="176"/>
      <x:c r="X167" s="176"/>
    </x:row>
    <x:row r="168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6"/>
      <x:c r="N168" s="176"/>
      <x:c r="O168" s="176"/>
      <x:c r="P168" s="176"/>
      <x:c r="Q168" s="176"/>
      <x:c r="R168" s="176"/>
      <x:c r="S168" s="176"/>
      <x:c r="T168" s="176"/>
      <x:c r="U168" s="176"/>
      <x:c r="V168" s="176"/>
      <x:c r="W168" s="176"/>
      <x:c r="X168" s="176"/>
    </x:row>
    <x:row r="169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6"/>
      <x:c r="N169" s="176"/>
      <x:c r="O169" s="176"/>
      <x:c r="P169" s="176"/>
      <x:c r="Q169" s="176"/>
      <x:c r="R169" s="176"/>
      <x:c r="S169" s="176"/>
      <x:c r="T169" s="176"/>
      <x:c r="U169" s="176"/>
      <x:c r="V169" s="176"/>
      <x:c r="W169" s="176"/>
      <x:c r="X169" s="176"/>
    </x:row>
    <x:row r="170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6"/>
      <x:c r="N170" s="176"/>
      <x:c r="O170" s="176"/>
      <x:c r="P170" s="176"/>
      <x:c r="Q170" s="176"/>
      <x:c r="R170" s="176"/>
      <x:c r="S170" s="176"/>
      <x:c r="T170" s="176"/>
      <x:c r="U170" s="176"/>
      <x:c r="V170" s="176"/>
      <x:c r="W170" s="176"/>
      <x:c r="X170" s="176"/>
    </x:row>
    <x:row r="171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6"/>
      <x:c r="N171" s="176"/>
      <x:c r="O171" s="176"/>
      <x:c r="P171" s="176"/>
      <x:c r="Q171" s="176"/>
      <x:c r="R171" s="176"/>
      <x:c r="S171" s="176"/>
      <x:c r="T171" s="176"/>
      <x:c r="U171" s="176"/>
      <x:c r="V171" s="176"/>
      <x:c r="W171" s="176"/>
      <x:c r="X171" s="176"/>
    </x:row>
    <x:row r="172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6"/>
      <x:c r="N172" s="176"/>
      <x:c r="O172" s="176"/>
      <x:c r="P172" s="176"/>
      <x:c r="Q172" s="176"/>
      <x:c r="R172" s="176"/>
      <x:c r="S172" s="176"/>
      <x:c r="T172" s="176"/>
      <x:c r="U172" s="176"/>
      <x:c r="V172" s="176"/>
      <x:c r="W172" s="176"/>
      <x:c r="X172" s="176"/>
    </x:row>
    <x:row r="173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6"/>
      <x:c r="N173" s="176"/>
      <x:c r="O173" s="176"/>
      <x:c r="P173" s="176"/>
      <x:c r="Q173" s="176"/>
      <x:c r="R173" s="176"/>
      <x:c r="S173" s="176"/>
      <x:c r="T173" s="176"/>
      <x:c r="U173" s="176"/>
      <x:c r="V173" s="176"/>
      <x:c r="W173" s="176"/>
      <x:c r="X173" s="176"/>
    </x:row>
    <x:row r="174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6"/>
      <x:c r="N174" s="176"/>
      <x:c r="O174" s="176"/>
      <x:c r="P174" s="176"/>
      <x:c r="Q174" s="176"/>
      <x:c r="R174" s="176"/>
      <x:c r="S174" s="176"/>
      <x:c r="T174" s="176"/>
      <x:c r="U174" s="176"/>
      <x:c r="V174" s="176"/>
      <x:c r="W174" s="176"/>
      <x:c r="X174" s="176"/>
    </x:row>
    <x:row r="17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6"/>
      <x:c r="N175" s="176"/>
      <x:c r="O175" s="176"/>
      <x:c r="P175" s="176"/>
      <x:c r="Q175" s="176"/>
      <x:c r="R175" s="176"/>
      <x:c r="S175" s="176"/>
      <x:c r="T175" s="176"/>
      <x:c r="U175" s="176"/>
      <x:c r="V175" s="176"/>
      <x:c r="W175" s="176"/>
      <x:c r="X175" s="176"/>
    </x:row>
    <x:row r="176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6"/>
      <x:c r="N176" s="176"/>
      <x:c r="O176" s="176"/>
      <x:c r="P176" s="176"/>
      <x:c r="Q176" s="176"/>
      <x:c r="R176" s="176"/>
      <x:c r="S176" s="176"/>
      <x:c r="T176" s="176"/>
      <x:c r="U176" s="176"/>
      <x:c r="V176" s="176"/>
      <x:c r="W176" s="176"/>
      <x:c r="X176" s="176"/>
    </x:row>
    <x:row r="177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6"/>
      <x:c r="N177" s="176"/>
      <x:c r="O177" s="176"/>
      <x:c r="P177" s="176"/>
      <x:c r="Q177" s="176"/>
      <x:c r="R177" s="176"/>
      <x:c r="S177" s="176"/>
      <x:c r="T177" s="176"/>
      <x:c r="U177" s="176"/>
      <x:c r="V177" s="176"/>
      <x:c r="W177" s="176"/>
      <x:c r="X177" s="176"/>
    </x:row>
    <x:row r="178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6"/>
      <x:c r="N178" s="176"/>
      <x:c r="O178" s="176"/>
      <x:c r="P178" s="176"/>
      <x:c r="Q178" s="176"/>
      <x:c r="R178" s="176"/>
      <x:c r="S178" s="176"/>
      <x:c r="T178" s="176"/>
      <x:c r="U178" s="176"/>
      <x:c r="V178" s="176"/>
      <x:c r="W178" s="176"/>
      <x:c r="X178" s="176"/>
    </x:row>
    <x:row r="179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6"/>
      <x:c r="N179" s="176"/>
      <x:c r="O179" s="176"/>
      <x:c r="P179" s="176"/>
      <x:c r="Q179" s="176"/>
      <x:c r="R179" s="176"/>
      <x:c r="S179" s="176"/>
      <x:c r="T179" s="176"/>
      <x:c r="U179" s="176"/>
      <x:c r="V179" s="176"/>
      <x:c r="W179" s="176"/>
      <x:c r="X179" s="176"/>
    </x:row>
    <x:row r="180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6"/>
      <x:c r="N180" s="176"/>
      <x:c r="O180" s="176"/>
      <x:c r="P180" s="176"/>
      <x:c r="Q180" s="176"/>
      <x:c r="R180" s="176"/>
      <x:c r="S180" s="176"/>
      <x:c r="T180" s="176"/>
      <x:c r="U180" s="176"/>
      <x:c r="V180" s="176"/>
      <x:c r="W180" s="176"/>
      <x:c r="X180" s="176"/>
    </x:row>
    <x:row r="181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6"/>
      <x:c r="N181" s="176"/>
      <x:c r="O181" s="176"/>
      <x:c r="P181" s="176"/>
      <x:c r="Q181" s="176"/>
      <x:c r="R181" s="176"/>
      <x:c r="S181" s="176"/>
      <x:c r="T181" s="176"/>
      <x:c r="U181" s="176"/>
      <x:c r="V181" s="176"/>
      <x:c r="W181" s="176"/>
      <x:c r="X181" s="176"/>
    </x:row>
    <x:row r="182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6"/>
      <x:c r="N182" s="176"/>
      <x:c r="O182" s="176"/>
      <x:c r="P182" s="176"/>
      <x:c r="Q182" s="176"/>
      <x:c r="R182" s="176"/>
      <x:c r="S182" s="176"/>
      <x:c r="T182" s="176"/>
      <x:c r="U182" s="176"/>
      <x:c r="V182" s="176"/>
      <x:c r="W182" s="176"/>
      <x:c r="X182" s="176"/>
    </x:row>
    <x:row r="183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6"/>
      <x:c r="N183" s="176"/>
      <x:c r="O183" s="176"/>
      <x:c r="P183" s="176"/>
      <x:c r="Q183" s="176"/>
      <x:c r="R183" s="176"/>
      <x:c r="S183" s="176"/>
      <x:c r="T183" s="176"/>
      <x:c r="U183" s="176"/>
      <x:c r="V183" s="176"/>
      <x:c r="W183" s="176"/>
      <x:c r="X183" s="176"/>
    </x:row>
    <x:row r="184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6"/>
      <x:c r="N184" s="176"/>
      <x:c r="O184" s="176"/>
      <x:c r="P184" s="176"/>
      <x:c r="Q184" s="176"/>
      <x:c r="R184" s="176"/>
      <x:c r="S184" s="176"/>
      <x:c r="T184" s="176"/>
      <x:c r="U184" s="176"/>
      <x:c r="V184" s="176"/>
      <x:c r="W184" s="176"/>
      <x:c r="X184" s="176"/>
    </x:row>
    <x:row r="18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6"/>
      <x:c r="N185" s="176"/>
      <x:c r="O185" s="176"/>
      <x:c r="P185" s="176"/>
      <x:c r="Q185" s="176"/>
      <x:c r="R185" s="176"/>
      <x:c r="S185" s="176"/>
      <x:c r="T185" s="176"/>
      <x:c r="U185" s="176"/>
      <x:c r="V185" s="176"/>
      <x:c r="W185" s="176"/>
      <x:c r="X185" s="176"/>
    </x:row>
    <x:row r="186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6"/>
      <x:c r="N186" s="176"/>
      <x:c r="O186" s="176"/>
      <x:c r="P186" s="176"/>
      <x:c r="Q186" s="176"/>
      <x:c r="R186" s="176"/>
      <x:c r="S186" s="176"/>
      <x:c r="T186" s="176"/>
      <x:c r="U186" s="176"/>
      <x:c r="V186" s="176"/>
      <x:c r="W186" s="176"/>
      <x:c r="X186" s="176"/>
    </x:row>
    <x:row r="187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6"/>
      <x:c r="N187" s="176"/>
      <x:c r="O187" s="176"/>
      <x:c r="P187" s="176"/>
      <x:c r="Q187" s="176"/>
      <x:c r="R187" s="176"/>
      <x:c r="S187" s="176"/>
      <x:c r="T187" s="176"/>
      <x:c r="U187" s="176"/>
      <x:c r="V187" s="176"/>
      <x:c r="W187" s="176"/>
      <x:c r="X187" s="176"/>
    </x:row>
    <x:row r="188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6"/>
      <x:c r="N188" s="176"/>
      <x:c r="O188" s="176"/>
      <x:c r="P188" s="176"/>
      <x:c r="Q188" s="176"/>
      <x:c r="R188" s="176"/>
      <x:c r="S188" s="176"/>
      <x:c r="T188" s="176"/>
      <x:c r="U188" s="176"/>
      <x:c r="V188" s="176"/>
      <x:c r="W188" s="176"/>
      <x:c r="X188" s="176"/>
    </x:row>
    <x:row r="189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6"/>
      <x:c r="N189" s="176"/>
      <x:c r="O189" s="176"/>
      <x:c r="P189" s="176"/>
      <x:c r="Q189" s="176"/>
      <x:c r="R189" s="176"/>
      <x:c r="S189" s="176"/>
      <x:c r="T189" s="176"/>
      <x:c r="U189" s="176"/>
      <x:c r="V189" s="176"/>
      <x:c r="W189" s="176"/>
      <x:c r="X189" s="176"/>
    </x:row>
    <x:row r="190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6"/>
      <x:c r="N190" s="176"/>
      <x:c r="O190" s="176"/>
      <x:c r="P190" s="176"/>
      <x:c r="Q190" s="176"/>
      <x:c r="R190" s="176"/>
      <x:c r="S190" s="176"/>
      <x:c r="T190" s="176"/>
      <x:c r="U190" s="176"/>
      <x:c r="V190" s="176"/>
      <x:c r="W190" s="176"/>
      <x:c r="X190" s="176"/>
    </x:row>
    <x:row r="191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6"/>
      <x:c r="N191" s="176"/>
      <x:c r="O191" s="176"/>
      <x:c r="P191" s="176"/>
      <x:c r="Q191" s="176"/>
      <x:c r="R191" s="176"/>
      <x:c r="S191" s="176"/>
      <x:c r="T191" s="176"/>
      <x:c r="U191" s="176"/>
      <x:c r="V191" s="176"/>
      <x:c r="W191" s="176"/>
      <x:c r="X191" s="176"/>
    </x:row>
    <x:row r="192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6"/>
      <x:c r="N192" s="176"/>
      <x:c r="O192" s="176"/>
      <x:c r="P192" s="176"/>
      <x:c r="Q192" s="176"/>
      <x:c r="R192" s="176"/>
      <x:c r="S192" s="176"/>
      <x:c r="T192" s="176"/>
      <x:c r="U192" s="176"/>
      <x:c r="V192" s="176"/>
      <x:c r="W192" s="176"/>
      <x:c r="X192" s="176"/>
    </x:row>
    <x:row r="193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6"/>
      <x:c r="N193" s="176"/>
      <x:c r="O193" s="176"/>
      <x:c r="P193" s="176"/>
      <x:c r="Q193" s="176"/>
      <x:c r="R193" s="176"/>
      <x:c r="S193" s="176"/>
      <x:c r="T193" s="176"/>
      <x:c r="U193" s="176"/>
      <x:c r="V193" s="176"/>
      <x:c r="W193" s="176"/>
      <x:c r="X193" s="176"/>
    </x:row>
    <x:row r="194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6"/>
      <x:c r="N194" s="176"/>
      <x:c r="O194" s="176"/>
      <x:c r="P194" s="176"/>
      <x:c r="Q194" s="176"/>
      <x:c r="R194" s="176"/>
      <x:c r="S194" s="176"/>
      <x:c r="T194" s="176"/>
      <x:c r="U194" s="176"/>
      <x:c r="V194" s="176"/>
      <x:c r="W194" s="176"/>
      <x:c r="X194" s="176"/>
    </x:row>
    <x:row r="19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6"/>
      <x:c r="N195" s="176"/>
      <x:c r="O195" s="176"/>
      <x:c r="P195" s="176"/>
      <x:c r="Q195" s="176"/>
      <x:c r="R195" s="176"/>
      <x:c r="S195" s="176"/>
      <x:c r="T195" s="176"/>
      <x:c r="U195" s="176"/>
      <x:c r="V195" s="176"/>
      <x:c r="W195" s="176"/>
      <x:c r="X195" s="176"/>
    </x:row>
    <x:row r="196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6"/>
      <x:c r="N196" s="176"/>
      <x:c r="O196" s="176"/>
      <x:c r="P196" s="176"/>
      <x:c r="Q196" s="176"/>
      <x:c r="R196" s="176"/>
      <x:c r="S196" s="176"/>
      <x:c r="T196" s="176"/>
      <x:c r="U196" s="176"/>
      <x:c r="V196" s="176"/>
      <x:c r="W196" s="176"/>
      <x:c r="X196" s="176"/>
    </x:row>
    <x:row r="197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6"/>
      <x:c r="N197" s="176"/>
      <x:c r="O197" s="176"/>
      <x:c r="P197" s="176"/>
      <x:c r="Q197" s="176"/>
      <x:c r="R197" s="176"/>
      <x:c r="S197" s="176"/>
      <x:c r="T197" s="176"/>
      <x:c r="U197" s="176"/>
      <x:c r="V197" s="176"/>
      <x:c r="W197" s="176"/>
      <x:c r="X197" s="176"/>
    </x:row>
    <x:row r="198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6"/>
      <x:c r="N198" s="176"/>
      <x:c r="O198" s="176"/>
      <x:c r="P198" s="176"/>
      <x:c r="Q198" s="176"/>
      <x:c r="R198" s="176"/>
      <x:c r="S198" s="176"/>
      <x:c r="T198" s="176"/>
      <x:c r="U198" s="176"/>
      <x:c r="V198" s="176"/>
      <x:c r="W198" s="176"/>
      <x:c r="X198" s="176"/>
    </x:row>
    <x:row r="199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6"/>
      <x:c r="N199" s="176"/>
      <x:c r="O199" s="176"/>
      <x:c r="P199" s="176"/>
      <x:c r="Q199" s="176"/>
      <x:c r="R199" s="176"/>
      <x:c r="S199" s="176"/>
      <x:c r="T199" s="176"/>
      <x:c r="U199" s="176"/>
      <x:c r="V199" s="176"/>
      <x:c r="W199" s="176"/>
      <x:c r="X199" s="176"/>
    </x:row>
    <x:row r="200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6"/>
      <x:c r="N200" s="176"/>
      <x:c r="O200" s="176"/>
      <x:c r="P200" s="176"/>
      <x:c r="Q200" s="176"/>
      <x:c r="R200" s="176"/>
      <x:c r="S200" s="176"/>
      <x:c r="T200" s="176"/>
      <x:c r="U200" s="176"/>
      <x:c r="V200" s="176"/>
      <x:c r="W200" s="176"/>
      <x:c r="X200" s="176"/>
    </x:row>
  </x:sheetData>
  <x:mergeCells>
    <x:mergeCell ref="A1:J1"/>
    <x:mergeCell ref="A13:B13"/>
  </x:mergeCells>
  <x:pageMargins left="0.7" right="0.7" top="0.75" bottom="0.75" header="0.3" footer="0.3"/>
  <x:drawing xmlns:r="http://schemas.openxmlformats.org/officeDocument/2006/relationships" r:id="R0b5c9de227834e95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7" hidden="0" customWidth="1"/>
    <x:col min="3" max="3" width="60" hidden="0" customWidth="1"/>
    <x:col min="4" max="4" width="52" hidden="0" customWidth="1"/>
  </x:cols>
  <x:sheetData>
    <x:row r="1">
      <x:c r="A1" s="273" t="str">
        <x:v>Source &amp; Governance Notes</x:v>
      </x:c>
      <x:c r="B1" s="273"/>
      <x:c r="C1" s="273"/>
      <x:c r="D1" s="273"/>
      <x:c r="E1" s="176"/>
      <x:c r="F1" s="176"/>
      <x:c r="G1" s="176"/>
      <x:c r="H1" s="176"/>
      <x:c r="I1" s="176"/>
      <x:c r="J1" s="176"/>
      <x:c r="K1" s="176"/>
      <x:c r="L1" s="176"/>
      <x:c r="M1" s="176"/>
      <x:c r="N1" s="176"/>
      <x:c r="O1" s="176"/>
      <x:c r="P1" s="176"/>
      <x:c r="Q1" s="176"/>
      <x:c r="R1" s="176"/>
      <x:c r="S1" s="176"/>
      <x:c r="T1" s="176"/>
      <x:c r="U1" s="176"/>
      <x:c r="V1" s="176"/>
      <x:c r="W1" s="176"/>
      <x:c r="X1" s="176"/>
    </x:row>
    <x:row r="2">
      <x:c r="A2" s="176"/>
      <x:c r="B2" s="176"/>
      <x:c r="C2" s="176"/>
      <x:c r="D2" s="176"/>
      <x:c r="E2" s="176"/>
      <x:c r="F2" s="176"/>
      <x:c r="G2" s="176"/>
      <x:c r="H2" s="176"/>
      <x:c r="I2" s="176"/>
      <x:c r="J2" s="176"/>
      <x:c r="K2" s="176"/>
      <x:c r="L2" s="176"/>
      <x:c r="M2" s="176"/>
      <x:c r="N2" s="176"/>
      <x:c r="O2" s="176"/>
      <x:c r="P2" s="176"/>
      <x:c r="Q2" s="176"/>
      <x:c r="R2" s="176"/>
      <x:c r="S2" s="176"/>
      <x:c r="T2" s="176"/>
      <x:c r="U2" s="176"/>
      <x:c r="V2" s="176"/>
      <x:c r="W2" s="176"/>
      <x:c r="X2" s="176"/>
    </x:row>
    <x:row r="3">
      <x:c r="A3" s="197" t="str">
        <x:v>Source</x:v>
      </x:c>
      <x:c r="B3" s="197" t="str">
        <x:v>Authority</x:v>
      </x:c>
      <x:c r="C3" s="197" t="str">
        <x:v>What was used</x:v>
      </x:c>
      <x:c r="D3" s="197" t="str">
        <x:v>Decision</x:v>
      </x:c>
      <x:c r="E3" s="176"/>
      <x:c r="F3" s="176"/>
      <x:c r="G3" s="176"/>
      <x:c r="H3" s="176"/>
      <x:c r="I3" s="176"/>
      <x:c r="J3" s="176"/>
      <x:c r="K3" s="176"/>
      <x:c r="L3" s="176"/>
      <x:c r="M3" s="176"/>
      <x:c r="N3" s="176"/>
      <x:c r="O3" s="176"/>
      <x:c r="P3" s="176"/>
      <x:c r="Q3" s="176"/>
      <x:c r="R3" s="176"/>
      <x:c r="S3" s="176"/>
      <x:c r="T3" s="176"/>
      <x:c r="U3" s="176"/>
      <x:c r="V3" s="176"/>
      <x:c r="W3" s="176"/>
      <x:c r="X3" s="176"/>
    </x:row>
    <x:row r="4">
      <x:c r="A4" s="265" t="str">
        <x:v>187_Monster_Ability_BST_Design_Handoff.md</x:v>
      </x:c>
      <x:c r="B4" s="266" t="str">
        <x:v>Primary / canonical design handoff</x:v>
      </x:c>
      <x:c r="C4" s="266" t="str">
        <x:v>Exact dex order, current names, typing, evolutionary role, battle identity, stat-shape and target BST bands.</x:v>
      </x:c>
      <x:c r="D4" s="267" t="str">
        <x:v>This workbook follows it as the source of truth.</x:v>
      </x:c>
      <x:c r="E4" s="176"/>
      <x:c r="F4" s="176"/>
      <x:c r="G4" s="176"/>
      <x:c r="H4" s="176"/>
      <x:c r="I4" s="176"/>
      <x:c r="J4" s="176"/>
      <x:c r="K4" s="176"/>
      <x:c r="L4" s="176"/>
      <x:c r="M4" s="176"/>
      <x:c r="N4" s="176"/>
      <x:c r="O4" s="176"/>
      <x:c r="P4" s="176"/>
      <x:c r="Q4" s="176"/>
      <x:c r="R4" s="176"/>
      <x:c r="S4" s="176"/>
      <x:c r="T4" s="176"/>
      <x:c r="U4" s="176"/>
      <x:c r="V4" s="176"/>
      <x:c r="W4" s="176"/>
      <x:c r="X4" s="176"/>
    </x:row>
    <x:row r="5">
      <x:c r="A5" s="181" t="str">
        <x:v>187_Monster_Ability_BST_Design_Handoff.json</x:v>
      </x:c>
      <x:c r="B5" s="178" t="str">
        <x:v>Primary structured handoff</x:v>
      </x:c>
      <x:c r="C5" s="178" t="str">
        <x:v>Corroborates exact numbering/naming and machine-readable species fields.</x:v>
      </x:c>
      <x:c r="D5" s="182" t="str">
        <x:v>Takes precedence over older partial balance sheets.</x:v>
      </x:c>
      <x:c r="E5" s="176"/>
      <x:c r="F5" s="176"/>
      <x:c r="G5" s="176"/>
      <x:c r="H5" s="176"/>
      <x:c r="I5" s="176"/>
      <x:c r="J5" s="176"/>
      <x:c r="K5" s="176"/>
      <x:c r="L5" s="176"/>
      <x:c r="M5" s="176"/>
      <x:c r="N5" s="176"/>
      <x:c r="O5" s="176"/>
      <x:c r="P5" s="176"/>
      <x:c r="Q5" s="176"/>
      <x:c r="R5" s="176"/>
      <x:c r="S5" s="176"/>
      <x:c r="T5" s="176"/>
      <x:c r="U5" s="176"/>
      <x:c r="V5" s="176"/>
      <x:c r="W5" s="176"/>
      <x:c r="X5" s="176"/>
    </x:row>
    <x:row r="6">
      <x:c r="A6" s="181" t="str">
        <x:v>Regional_Dex_Stats_and_Abilities_v1.xlsx</x:v>
      </x:c>
      <x:c r="B6" s="178" t="str">
        <x:v>Superseded working balance sheet</x:v>
      </x:c>
      <x:c r="C6" s="178" t="str">
        <x:v>Visual/structural starting point only.</x:v>
      </x:c>
      <x:c r="D6" s="182" t="str">
        <x:v>Its incomplete 45-species roster is replaced by this complete pass.</x:v>
      </x:c>
      <x:c r="E6" s="176"/>
      <x:c r="F6" s="176"/>
      <x:c r="G6" s="176"/>
      <x:c r="H6" s="176"/>
      <x:c r="I6" s="176"/>
      <x:c r="J6" s="176"/>
      <x:c r="K6" s="176"/>
      <x:c r="L6" s="176"/>
      <x:c r="M6" s="176"/>
      <x:c r="N6" s="176"/>
      <x:c r="O6" s="176"/>
      <x:c r="P6" s="176"/>
      <x:c r="Q6" s="176"/>
      <x:c r="R6" s="176"/>
      <x:c r="S6" s="176"/>
      <x:c r="T6" s="176"/>
      <x:c r="U6" s="176"/>
      <x:c r="V6" s="176"/>
      <x:c r="W6" s="176"/>
      <x:c r="X6" s="176"/>
    </x:row>
    <x:row r="7">
      <x:c r="A7" s="183" t="str">
        <x:v>FireRed / Gen III reference scale</x:v>
      </x:c>
      <x:c r="B7" s="268" t="str">
        <x:v>Balance guideline</x:v>
      </x:c>
      <x:c r="C7" s="268" t="str">
        <x:v>Early forms, middle stages, ordinary finals, fossils, pseudos and legendary BST scale.</x:v>
      </x:c>
      <x:c r="D7" s="184" t="str">
        <x:v>Used as the strength curve; not copied species-for-species.</x:v>
      </x:c>
      <x:c r="E7" s="176"/>
      <x:c r="F7" s="176"/>
      <x:c r="G7" s="176"/>
      <x:c r="H7" s="176"/>
      <x:c r="I7" s="176"/>
      <x:c r="J7" s="176"/>
      <x:c r="K7" s="176"/>
      <x:c r="L7" s="176"/>
      <x:c r="M7" s="176"/>
      <x:c r="N7" s="176"/>
      <x:c r="O7" s="176"/>
      <x:c r="P7" s="176"/>
      <x:c r="Q7" s="176"/>
      <x:c r="R7" s="176"/>
      <x:c r="S7" s="176"/>
      <x:c r="T7" s="176"/>
      <x:c r="U7" s="176"/>
      <x:c r="V7" s="176"/>
      <x:c r="W7" s="176"/>
      <x:c r="X7" s="176"/>
    </x:row>
    <x:row r="8">
      <x:c r="A8" s="176"/>
      <x:c r="B8" s="176"/>
      <x:c r="C8" s="176"/>
      <x:c r="D8" s="176"/>
      <x:c r="E8" s="176"/>
      <x:c r="F8" s="176"/>
      <x:c r="G8" s="176"/>
      <x:c r="H8" s="176"/>
      <x:c r="I8" s="176"/>
      <x:c r="J8" s="176"/>
      <x:c r="K8" s="176"/>
      <x:c r="L8" s="176"/>
      <x:c r="M8" s="176"/>
      <x:c r="N8" s="176"/>
      <x:c r="O8" s="176"/>
      <x:c r="P8" s="176"/>
      <x:c r="Q8" s="176"/>
      <x:c r="R8" s="176"/>
      <x:c r="S8" s="176"/>
      <x:c r="T8" s="176"/>
      <x:c r="U8" s="176"/>
      <x:c r="V8" s="176"/>
      <x:c r="W8" s="176"/>
      <x:c r="X8" s="176"/>
    </x:row>
    <x:row r="9">
      <x:c r="A9" s="177" t="str">
        <x:v>Canonical exceptions preserved</x:v>
      </x:c>
      <x:c r="B9" s="177"/>
      <x:c r="C9" s="177"/>
      <x:c r="D9" s="177"/>
      <x:c r="E9" s="176"/>
      <x:c r="F9" s="176"/>
      <x:c r="G9" s="176"/>
      <x:c r="H9" s="176"/>
      <x:c r="I9" s="176"/>
      <x:c r="J9" s="176"/>
      <x:c r="K9" s="176"/>
      <x:c r="L9" s="176"/>
      <x:c r="M9" s="176"/>
      <x:c r="N9" s="176"/>
      <x:c r="O9" s="176"/>
      <x:c r="P9" s="176"/>
      <x:c r="Q9" s="176"/>
      <x:c r="R9" s="176"/>
      <x:c r="S9" s="176"/>
      <x:c r="T9" s="176"/>
      <x:c r="U9" s="176"/>
      <x:c r="V9" s="176"/>
      <x:c r="W9" s="176"/>
      <x:c r="X9" s="176"/>
    </x:row>
    <x:row r="10">
      <x:c r="A10" s="179" t="str">
        <x:v>Species / group</x:v>
      </x:c>
      <x:c r="B10" s="247" t="str">
        <x:v>Locked BST</x:v>
      </x:c>
      <x:c r="C10" s="180" t="str">
        <x:v>Reason</x:v>
      </x:c>
      <x:c r="D10" s="176"/>
      <x:c r="E10" s="176"/>
      <x:c r="F10" s="176"/>
      <x:c r="G10" s="176"/>
      <x:c r="H10" s="176"/>
      <x:c r="I10" s="176"/>
      <x:c r="J10" s="176"/>
      <x:c r="K10" s="176"/>
      <x:c r="L10" s="176"/>
      <x:c r="M10" s="176"/>
      <x:c r="N10" s="176"/>
      <x:c r="O10" s="176"/>
      <x:c r="P10" s="176"/>
      <x:c r="Q10" s="176"/>
      <x:c r="R10" s="176"/>
      <x:c r="S10" s="176"/>
      <x:c r="T10" s="176"/>
      <x:c r="U10" s="176"/>
      <x:c r="V10" s="176"/>
      <x:c r="W10" s="176"/>
      <x:c r="X10" s="176"/>
    </x:row>
    <x:row r="11">
      <x:c r="A11" s="181" t="str">
        <x:v>Murmite</x:v>
      </x:c>
      <x:c r="B11" s="178" t="n">
        <x:v>430</x:v>
      </x:c>
      <x:c r="C11" s="182" t="str">
        <x:v>Deliberately low-power single-stage utility/atmosphere species.</x:v>
      </x:c>
      <x:c r="D11" s="176"/>
      <x:c r="E11" s="176"/>
      <x:c r="F11" s="176"/>
      <x:c r="G11" s="176"/>
      <x:c r="H11" s="176"/>
      <x:c r="I11" s="176"/>
      <x:c r="J11" s="176"/>
      <x:c r="K11" s="176"/>
      <x:c r="L11" s="176"/>
      <x:c r="M11" s="176"/>
      <x:c r="N11" s="176"/>
      <x:c r="O11" s="176"/>
      <x:c r="P11" s="176"/>
      <x:c r="Q11" s="176"/>
      <x:c r="R11" s="176"/>
      <x:c r="S11" s="176"/>
      <x:c r="T11" s="176"/>
      <x:c r="U11" s="176"/>
      <x:c r="V11" s="176"/>
      <x:c r="W11" s="176"/>
      <x:c r="X11" s="176"/>
    </x:row>
    <x:row r="12">
      <x:c r="A12" s="181" t="str">
        <x:v>Cocytalon</x:v>
      </x:c>
      <x:c r="B12" s="178" t="n">
        <x:v>550</x:v>
      </x:c>
      <x:c r="C12" s="182" t="str">
        <x:v>Rare high-tier final above normal final band but below pseudo-legendary.</x:v>
      </x:c>
      <x:c r="D12" s="176"/>
      <x:c r="E12" s="176"/>
      <x:c r="F12" s="176"/>
      <x:c r="G12" s="176"/>
      <x:c r="H12" s="176"/>
      <x:c r="I12" s="176"/>
      <x:c r="J12" s="176"/>
      <x:c r="K12" s="176"/>
      <x:c r="L12" s="176"/>
      <x:c r="M12" s="176"/>
      <x:c r="N12" s="176"/>
      <x:c r="O12" s="176"/>
      <x:c r="P12" s="176"/>
      <x:c r="Q12" s="176"/>
      <x:c r="R12" s="176"/>
      <x:c r="S12" s="176"/>
      <x:c r="T12" s="176"/>
      <x:c r="U12" s="176"/>
      <x:c r="V12" s="176"/>
      <x:c r="W12" s="176"/>
      <x:c r="X12" s="176"/>
    </x:row>
    <x:row r="13">
      <x:c r="A13" s="181" t="str">
        <x:v>Caelynx / Tellurion / Gehennuar</x:v>
      </x:c>
      <x:c r="B13" s="178" t="n">
        <x:v>580</x:v>
      </x:c>
      <x:c r="C13" s="182" t="str">
        <x:v>Legendary Watcher trio.</x:v>
      </x:c>
      <x:c r="D13" s="176"/>
      <x:c r="E13" s="176"/>
      <x:c r="F13" s="176"/>
      <x:c r="G13" s="176"/>
      <x:c r="H13" s="176"/>
      <x:c r="I13" s="176"/>
      <x:c r="J13" s="176"/>
      <x:c r="K13" s="176"/>
      <x:c r="L13" s="176"/>
      <x:c r="M13" s="176"/>
      <x:c r="N13" s="176"/>
      <x:c r="O13" s="176"/>
      <x:c r="P13" s="176"/>
      <x:c r="Q13" s="176"/>
      <x:c r="R13" s="176"/>
      <x:c r="S13" s="176"/>
      <x:c r="T13" s="176"/>
      <x:c r="U13" s="176"/>
      <x:c r="V13" s="176"/>
      <x:c r="W13" s="176"/>
      <x:c r="X13" s="176"/>
    </x:row>
    <x:row r="14">
      <x:c r="A14" s="181" t="str">
        <x:v>Mausolisk / Aegishorn</x:v>
      </x:c>
      <x:c r="B14" s="178" t="n">
        <x:v>600</x:v>
      </x:c>
      <x:c r="C14" s="182" t="str">
        <x:v>Pseudo-legendary finals.</x:v>
      </x:c>
      <x:c r="D14" s="176"/>
      <x:c r="E14" s="176"/>
      <x:c r="F14" s="176"/>
      <x:c r="G14" s="176"/>
      <x:c r="H14" s="176"/>
      <x:c r="I14" s="176"/>
      <x:c r="J14" s="176"/>
      <x:c r="K14" s="176"/>
      <x:c r="L14" s="176"/>
      <x:c r="M14" s="176"/>
      <x:c r="N14" s="176"/>
      <x:c r="O14" s="176"/>
      <x:c r="P14" s="176"/>
      <x:c r="Q14" s="176"/>
      <x:c r="R14" s="176"/>
      <x:c r="S14" s="176"/>
      <x:c r="T14" s="176"/>
      <x:c r="U14" s="176"/>
      <x:c r="V14" s="176"/>
      <x:c r="W14" s="176"/>
      <x:c r="X14" s="176"/>
    </x:row>
    <x:row r="15">
      <x:c r="A15" s="181" t="str">
        <x:v>Tianzhar / Cruxwyrm</x:v>
      </x:c>
      <x:c r="B15" s="178" t="n">
        <x:v>680</x:v>
      </x:c>
      <x:c r="C15" s="182" t="str">
        <x:v>Box-art legendary tier.</x:v>
      </x:c>
      <x:c r="D15" s="176"/>
      <x:c r="E15" s="176"/>
      <x:c r="F15" s="176"/>
      <x:c r="G15" s="176"/>
      <x:c r="H15" s="176"/>
      <x:c r="I15" s="176"/>
      <x:c r="J15" s="176"/>
      <x:c r="K15" s="176"/>
      <x:c r="L15" s="176"/>
      <x:c r="M15" s="176"/>
      <x:c r="N15" s="176"/>
      <x:c r="O15" s="176"/>
      <x:c r="P15" s="176"/>
      <x:c r="Q15" s="176"/>
      <x:c r="R15" s="176"/>
      <x:c r="S15" s="176"/>
      <x:c r="T15" s="176"/>
      <x:c r="U15" s="176"/>
      <x:c r="V15" s="176"/>
      <x:c r="W15" s="176"/>
      <x:c r="X15" s="176"/>
    </x:row>
    <x:row r="16">
      <x:c r="A16" s="183" t="str">
        <x:v>Suncub → Cehong</x:v>
      </x:c>
      <x:c r="B16" s="268" t="str">
        <x:v>420 → 600</x:v>
      </x:c>
      <x:c r="C16" s="184" t="str">
        <x:v>Exceptionally strong evolving mythic juvenile into full mythic final.</x:v>
      </x:c>
      <x:c r="D16" s="176"/>
      <x:c r="E16" s="176"/>
      <x:c r="F16" s="176"/>
      <x:c r="G16" s="176"/>
      <x:c r="H16" s="176"/>
      <x:c r="I16" s="176"/>
      <x:c r="J16" s="176"/>
      <x:c r="K16" s="176"/>
      <x:c r="L16" s="176"/>
      <x:c r="M16" s="176"/>
      <x:c r="N16" s="176"/>
      <x:c r="O16" s="176"/>
      <x:c r="P16" s="176"/>
      <x:c r="Q16" s="176"/>
      <x:c r="R16" s="176"/>
      <x:c r="S16" s="176"/>
      <x:c r="T16" s="176"/>
      <x:c r="U16" s="176"/>
      <x:c r="V16" s="176"/>
      <x:c r="W16" s="176"/>
      <x:c r="X16" s="176"/>
    </x:row>
    <x:row r="17">
      <x:c r="A17" s="176"/>
      <x:c r="B17" s="176"/>
      <x:c r="C17" s="176"/>
      <x:c r="D17" s="176"/>
      <x:c r="E17" s="176"/>
      <x:c r="F17" s="176"/>
      <x:c r="G17" s="176"/>
      <x:c r="H17" s="176"/>
      <x:c r="I17" s="176"/>
      <x:c r="J17" s="176"/>
      <x:c r="K17" s="176"/>
      <x:c r="L17" s="176"/>
      <x:c r="M17" s="176"/>
      <x:c r="N17" s="176"/>
      <x:c r="O17" s="176"/>
      <x:c r="P17" s="176"/>
      <x:c r="Q17" s="176"/>
      <x:c r="R17" s="176"/>
      <x:c r="S17" s="176"/>
      <x:c r="T17" s="176"/>
      <x:c r="U17" s="176"/>
      <x:c r="V17" s="176"/>
      <x:c r="W17" s="176"/>
      <x:c r="X17" s="176"/>
    </x:row>
    <x:row r="18">
      <x:c r="A18" s="176"/>
      <x:c r="B18" s="176"/>
      <x:c r="C18" s="176"/>
      <x:c r="D18" s="176"/>
      <x:c r="E18" s="176"/>
      <x:c r="F18" s="176"/>
      <x:c r="G18" s="176"/>
      <x:c r="H18" s="176"/>
      <x:c r="I18" s="176"/>
      <x:c r="J18" s="176"/>
      <x:c r="K18" s="176"/>
      <x:c r="L18" s="176"/>
      <x:c r="M18" s="176"/>
      <x:c r="N18" s="176"/>
      <x:c r="O18" s="176"/>
      <x:c r="P18" s="176"/>
      <x:c r="Q18" s="176"/>
      <x:c r="R18" s="176"/>
      <x:c r="S18" s="176"/>
      <x:c r="T18" s="176"/>
      <x:c r="U18" s="176"/>
      <x:c r="V18" s="176"/>
      <x:c r="W18" s="176"/>
      <x:c r="X18" s="176"/>
    </x:row>
    <x:row r="19">
      <x:c r="A19" s="176"/>
      <x:c r="B19" s="176"/>
      <x:c r="C19" s="176"/>
      <x:c r="D19" s="176"/>
      <x:c r="E19" s="176"/>
      <x:c r="F19" s="176"/>
      <x:c r="G19" s="176"/>
      <x:c r="H19" s="176"/>
      <x:c r="I19" s="176"/>
      <x:c r="J19" s="176"/>
      <x:c r="K19" s="176"/>
      <x:c r="L19" s="176"/>
      <x:c r="M19" s="176"/>
      <x:c r="N19" s="176"/>
      <x:c r="O19" s="176"/>
      <x:c r="P19" s="176"/>
      <x:c r="Q19" s="176"/>
      <x:c r="R19" s="176"/>
      <x:c r="S19" s="176"/>
      <x:c r="T19" s="176"/>
      <x:c r="U19" s="176"/>
      <x:c r="V19" s="176"/>
      <x:c r="W19" s="176"/>
      <x:c r="X19" s="176"/>
    </x:row>
    <x:row r="20">
      <x:c r="A20" s="176"/>
      <x:c r="B20" s="176"/>
      <x:c r="C20" s="176"/>
      <x:c r="D20" s="176"/>
      <x:c r="E20" s="176"/>
      <x:c r="F20" s="176"/>
      <x:c r="G20" s="176"/>
      <x:c r="H20" s="176"/>
      <x:c r="I20" s="176"/>
      <x:c r="J20" s="176"/>
      <x:c r="K20" s="176"/>
      <x:c r="L20" s="176"/>
      <x:c r="M20" s="176"/>
      <x:c r="N20" s="176"/>
      <x:c r="O20" s="176"/>
      <x:c r="P20" s="176"/>
      <x:c r="Q20" s="176"/>
      <x:c r="R20" s="176"/>
      <x:c r="S20" s="176"/>
      <x:c r="T20" s="176"/>
      <x:c r="U20" s="176"/>
      <x:c r="V20" s="176"/>
      <x:c r="W20" s="176"/>
      <x:c r="X20" s="176"/>
    </x:row>
    <x:row r="21">
      <x:c r="A21" s="176"/>
      <x:c r="B21" s="176"/>
      <x:c r="C21" s="176"/>
      <x:c r="D21" s="176"/>
      <x:c r="E21" s="176"/>
      <x:c r="F21" s="176"/>
      <x:c r="G21" s="176"/>
      <x:c r="H21" s="176"/>
      <x:c r="I21" s="176"/>
      <x:c r="J21" s="176"/>
      <x:c r="K21" s="176"/>
      <x:c r="L21" s="176"/>
      <x:c r="M21" s="176"/>
      <x:c r="N21" s="176"/>
      <x:c r="O21" s="176"/>
      <x:c r="P21" s="176"/>
      <x:c r="Q21" s="176"/>
      <x:c r="R21" s="176"/>
      <x:c r="S21" s="176"/>
      <x:c r="T21" s="176"/>
      <x:c r="U21" s="176"/>
      <x:c r="V21" s="176"/>
      <x:c r="W21" s="176"/>
      <x:c r="X21" s="176"/>
    </x:row>
    <x:row r="22">
      <x:c r="A22" s="176"/>
      <x:c r="B22" s="176"/>
      <x:c r="C22" s="176"/>
      <x:c r="D22" s="176"/>
      <x:c r="E22" s="176"/>
      <x:c r="F22" s="176"/>
      <x:c r="G22" s="176"/>
      <x:c r="H22" s="176"/>
      <x:c r="I22" s="176"/>
      <x:c r="J22" s="176"/>
      <x:c r="K22" s="176"/>
      <x:c r="L22" s="176"/>
      <x:c r="M22" s="176"/>
      <x:c r="N22" s="176"/>
      <x:c r="O22" s="176"/>
      <x:c r="P22" s="176"/>
      <x:c r="Q22" s="176"/>
      <x:c r="R22" s="176"/>
      <x:c r="S22" s="176"/>
      <x:c r="T22" s="176"/>
      <x:c r="U22" s="176"/>
      <x:c r="V22" s="176"/>
      <x:c r="W22" s="176"/>
      <x:c r="X22" s="176"/>
    </x:row>
    <x:row r="23">
      <x:c r="A23" s="176"/>
      <x:c r="B23" s="176"/>
      <x:c r="C23" s="176"/>
      <x:c r="D23" s="176"/>
      <x:c r="E23" s="176"/>
      <x:c r="F23" s="176"/>
      <x:c r="G23" s="176"/>
      <x:c r="H23" s="176"/>
      <x:c r="I23" s="176"/>
      <x:c r="J23" s="176"/>
      <x:c r="K23" s="176"/>
      <x:c r="L23" s="176"/>
      <x:c r="M23" s="176"/>
      <x:c r="N23" s="176"/>
      <x:c r="O23" s="176"/>
      <x:c r="P23" s="176"/>
      <x:c r="Q23" s="176"/>
      <x:c r="R23" s="176"/>
      <x:c r="S23" s="176"/>
      <x:c r="T23" s="176"/>
      <x:c r="U23" s="176"/>
      <x:c r="V23" s="176"/>
      <x:c r="W23" s="176"/>
      <x:c r="X23" s="176"/>
    </x:row>
    <x:row r="24">
      <x:c r="A24" s="176"/>
      <x:c r="B24" s="176"/>
      <x:c r="C24" s="176"/>
      <x:c r="D24" s="176"/>
      <x:c r="E24" s="176"/>
      <x:c r="F24" s="176"/>
      <x:c r="G24" s="176"/>
      <x:c r="H24" s="176"/>
      <x:c r="I24" s="176"/>
      <x:c r="J24" s="176"/>
      <x:c r="K24" s="176"/>
      <x:c r="L24" s="176"/>
      <x:c r="M24" s="176"/>
      <x:c r="N24" s="176"/>
      <x:c r="O24" s="176"/>
      <x:c r="P24" s="176"/>
      <x:c r="Q24" s="176"/>
      <x:c r="R24" s="176"/>
      <x:c r="S24" s="176"/>
      <x:c r="T24" s="176"/>
      <x:c r="U24" s="176"/>
      <x:c r="V24" s="176"/>
      <x:c r="W24" s="176"/>
      <x:c r="X24" s="176"/>
    </x:row>
    <x:row r="25">
      <x:c r="A25" s="176"/>
      <x:c r="B25" s="176"/>
      <x:c r="C25" s="176"/>
      <x:c r="D25" s="176"/>
      <x:c r="E25" s="176"/>
      <x:c r="F25" s="176"/>
      <x:c r="G25" s="176"/>
      <x:c r="H25" s="176"/>
      <x:c r="I25" s="176"/>
      <x:c r="J25" s="176"/>
      <x:c r="K25" s="176"/>
      <x:c r="L25" s="176"/>
      <x:c r="M25" s="176"/>
      <x:c r="N25" s="176"/>
      <x:c r="O25" s="176"/>
      <x:c r="P25" s="176"/>
      <x:c r="Q25" s="176"/>
      <x:c r="R25" s="176"/>
      <x:c r="S25" s="176"/>
      <x:c r="T25" s="176"/>
      <x:c r="U25" s="176"/>
      <x:c r="V25" s="176"/>
      <x:c r="W25" s="176"/>
      <x:c r="X25" s="176"/>
    </x:row>
    <x:row r="26">
      <x:c r="A26" s="176"/>
      <x:c r="B26" s="176"/>
      <x:c r="C26" s="176"/>
      <x:c r="D26" s="176"/>
      <x:c r="E26" s="176"/>
      <x:c r="F26" s="176"/>
      <x:c r="G26" s="176"/>
      <x:c r="H26" s="176"/>
      <x:c r="I26" s="176"/>
      <x:c r="J26" s="176"/>
      <x:c r="K26" s="176"/>
      <x:c r="L26" s="176"/>
      <x:c r="M26" s="176"/>
      <x:c r="N26" s="176"/>
      <x:c r="O26" s="176"/>
      <x:c r="P26" s="176"/>
      <x:c r="Q26" s="176"/>
      <x:c r="R26" s="176"/>
      <x:c r="S26" s="176"/>
      <x:c r="T26" s="176"/>
      <x:c r="U26" s="176"/>
      <x:c r="V26" s="176"/>
      <x:c r="W26" s="176"/>
      <x:c r="X26" s="176"/>
    </x:row>
    <x:row r="27">
      <x:c r="A27" s="176"/>
      <x:c r="B27" s="176"/>
      <x:c r="C27" s="176"/>
      <x:c r="D27" s="176"/>
      <x:c r="E27" s="176"/>
      <x:c r="F27" s="176"/>
      <x:c r="G27" s="176"/>
      <x:c r="H27" s="176"/>
      <x:c r="I27" s="176"/>
      <x:c r="J27" s="176"/>
      <x:c r="K27" s="176"/>
      <x:c r="L27" s="176"/>
      <x:c r="M27" s="176"/>
      <x:c r="N27" s="176"/>
      <x:c r="O27" s="176"/>
      <x:c r="P27" s="176"/>
      <x:c r="Q27" s="176"/>
      <x:c r="R27" s="176"/>
      <x:c r="S27" s="176"/>
      <x:c r="T27" s="176"/>
      <x:c r="U27" s="176"/>
      <x:c r="V27" s="176"/>
      <x:c r="W27" s="176"/>
      <x:c r="X27" s="176"/>
    </x:row>
    <x:row r="28">
      <x:c r="A28" s="176"/>
      <x:c r="B28" s="176"/>
      <x:c r="C28" s="176"/>
      <x:c r="D28" s="176"/>
      <x:c r="E28" s="176"/>
      <x:c r="F28" s="176"/>
      <x:c r="G28" s="176"/>
      <x:c r="H28" s="176"/>
      <x:c r="I28" s="176"/>
      <x:c r="J28" s="176"/>
      <x:c r="K28" s="176"/>
      <x:c r="L28" s="176"/>
      <x:c r="M28" s="176"/>
      <x:c r="N28" s="176"/>
      <x:c r="O28" s="176"/>
      <x:c r="P28" s="176"/>
      <x:c r="Q28" s="176"/>
      <x:c r="R28" s="176"/>
      <x:c r="S28" s="176"/>
      <x:c r="T28" s="176"/>
      <x:c r="U28" s="176"/>
      <x:c r="V28" s="176"/>
      <x:c r="W28" s="176"/>
      <x:c r="X28" s="176"/>
    </x:row>
    <x:row r="29">
      <x:c r="A29" s="176"/>
      <x:c r="B29" s="176"/>
      <x:c r="C29" s="176"/>
      <x:c r="D29" s="176"/>
      <x:c r="E29" s="176"/>
      <x:c r="F29" s="176"/>
      <x:c r="G29" s="176"/>
      <x:c r="H29" s="176"/>
      <x:c r="I29" s="176"/>
      <x:c r="J29" s="176"/>
      <x:c r="K29" s="176"/>
      <x:c r="L29" s="176"/>
      <x:c r="M29" s="176"/>
      <x:c r="N29" s="176"/>
      <x:c r="O29" s="176"/>
      <x:c r="P29" s="176"/>
      <x:c r="Q29" s="176"/>
      <x:c r="R29" s="176"/>
      <x:c r="S29" s="176"/>
      <x:c r="T29" s="176"/>
      <x:c r="U29" s="176"/>
      <x:c r="V29" s="176"/>
      <x:c r="W29" s="176"/>
      <x:c r="X29" s="176"/>
    </x:row>
    <x:row r="30">
      <x:c r="A30" s="176"/>
      <x:c r="B30" s="176"/>
      <x:c r="C30" s="176"/>
      <x:c r="D30" s="176"/>
      <x:c r="E30" s="176"/>
      <x:c r="F30" s="176"/>
      <x:c r="G30" s="176"/>
      <x:c r="H30" s="176"/>
      <x:c r="I30" s="176"/>
      <x:c r="J30" s="176"/>
      <x:c r="K30" s="176"/>
      <x:c r="L30" s="176"/>
      <x:c r="M30" s="176"/>
      <x:c r="N30" s="176"/>
      <x:c r="O30" s="176"/>
      <x:c r="P30" s="176"/>
      <x:c r="Q30" s="176"/>
      <x:c r="R30" s="176"/>
      <x:c r="S30" s="176"/>
      <x:c r="T30" s="176"/>
      <x:c r="U30" s="176"/>
      <x:c r="V30" s="176"/>
      <x:c r="W30" s="176"/>
      <x:c r="X30" s="176"/>
    </x:row>
    <x:row r="31">
      <x:c r="A31" s="176"/>
      <x:c r="B31" s="176"/>
      <x:c r="C31" s="176"/>
      <x:c r="D31" s="176"/>
      <x:c r="E31" s="176"/>
      <x:c r="F31" s="176"/>
      <x:c r="G31" s="176"/>
      <x:c r="H31" s="176"/>
      <x:c r="I31" s="176"/>
      <x:c r="J31" s="176"/>
      <x:c r="K31" s="176"/>
      <x:c r="L31" s="176"/>
      <x:c r="M31" s="176"/>
      <x:c r="N31" s="176"/>
      <x:c r="O31" s="176"/>
      <x:c r="P31" s="176"/>
      <x:c r="Q31" s="176"/>
      <x:c r="R31" s="176"/>
      <x:c r="S31" s="176"/>
      <x:c r="T31" s="176"/>
      <x:c r="U31" s="176"/>
      <x:c r="V31" s="176"/>
      <x:c r="W31" s="176"/>
      <x:c r="X31" s="176"/>
    </x:row>
    <x:row r="32">
      <x:c r="A32" s="176"/>
      <x:c r="B32" s="176"/>
      <x:c r="C32" s="176"/>
      <x:c r="D32" s="176"/>
      <x:c r="E32" s="176"/>
      <x:c r="F32" s="176"/>
      <x:c r="G32" s="176"/>
      <x:c r="H32" s="176"/>
      <x:c r="I32" s="176"/>
      <x:c r="J32" s="176"/>
      <x:c r="K32" s="176"/>
      <x:c r="L32" s="176"/>
      <x:c r="M32" s="176"/>
      <x:c r="N32" s="176"/>
      <x:c r="O32" s="176"/>
      <x:c r="P32" s="176"/>
      <x:c r="Q32" s="176"/>
      <x:c r="R32" s="176"/>
      <x:c r="S32" s="176"/>
      <x:c r="T32" s="176"/>
      <x:c r="U32" s="176"/>
      <x:c r="V32" s="176"/>
      <x:c r="W32" s="176"/>
      <x:c r="X32" s="176"/>
    </x:row>
    <x:row r="33">
      <x:c r="A33" s="176"/>
      <x:c r="B33" s="176"/>
      <x:c r="C33" s="176"/>
      <x:c r="D33" s="176"/>
      <x:c r="E33" s="176"/>
      <x:c r="F33" s="176"/>
      <x:c r="G33" s="176"/>
      <x:c r="H33" s="176"/>
      <x:c r="I33" s="176"/>
      <x:c r="J33" s="176"/>
      <x:c r="K33" s="176"/>
      <x:c r="L33" s="176"/>
      <x:c r="M33" s="176"/>
      <x:c r="N33" s="176"/>
      <x:c r="O33" s="176"/>
      <x:c r="P33" s="176"/>
      <x:c r="Q33" s="176"/>
      <x:c r="R33" s="176"/>
      <x:c r="S33" s="176"/>
      <x:c r="T33" s="176"/>
      <x:c r="U33" s="176"/>
      <x:c r="V33" s="176"/>
      <x:c r="W33" s="176"/>
      <x:c r="X33" s="176"/>
    </x:row>
    <x:row r="34">
      <x:c r="A34" s="176"/>
      <x:c r="B34" s="176"/>
      <x:c r="C34" s="176"/>
      <x:c r="D34" s="176"/>
      <x:c r="E34" s="176"/>
      <x:c r="F34" s="176"/>
      <x:c r="G34" s="176"/>
      <x:c r="H34" s="176"/>
      <x:c r="I34" s="176"/>
      <x:c r="J34" s="176"/>
      <x:c r="K34" s="176"/>
      <x:c r="L34" s="176"/>
      <x:c r="M34" s="176"/>
      <x:c r="N34" s="176"/>
      <x:c r="O34" s="176"/>
      <x:c r="P34" s="176"/>
      <x:c r="Q34" s="176"/>
      <x:c r="R34" s="176"/>
      <x:c r="S34" s="176"/>
      <x:c r="T34" s="176"/>
      <x:c r="U34" s="176"/>
      <x:c r="V34" s="176"/>
      <x:c r="W34" s="176"/>
      <x:c r="X34" s="176"/>
    </x:row>
    <x:row r="35">
      <x:c r="A35" s="176"/>
      <x:c r="B35" s="176"/>
      <x:c r="C35" s="176"/>
      <x:c r="D35" s="176"/>
      <x:c r="E35" s="176"/>
      <x:c r="F35" s="176"/>
      <x:c r="G35" s="176"/>
      <x:c r="H35" s="176"/>
      <x:c r="I35" s="176"/>
      <x:c r="J35" s="176"/>
      <x:c r="K35" s="176"/>
      <x:c r="L35" s="176"/>
      <x:c r="M35" s="176"/>
      <x:c r="N35" s="176"/>
      <x:c r="O35" s="176"/>
      <x:c r="P35" s="176"/>
      <x:c r="Q35" s="176"/>
      <x:c r="R35" s="176"/>
      <x:c r="S35" s="176"/>
      <x:c r="T35" s="176"/>
      <x:c r="U35" s="176"/>
      <x:c r="V35" s="176"/>
      <x:c r="W35" s="176"/>
      <x:c r="X35" s="176"/>
    </x:row>
    <x:row r="36">
      <x:c r="A36" s="176"/>
      <x:c r="B36" s="176"/>
      <x:c r="C36" s="176"/>
      <x:c r="D36" s="176"/>
      <x:c r="E36" s="176"/>
      <x:c r="F36" s="176"/>
      <x:c r="G36" s="176"/>
      <x:c r="H36" s="176"/>
      <x:c r="I36" s="176"/>
      <x:c r="J36" s="176"/>
      <x:c r="K36" s="176"/>
      <x:c r="L36" s="176"/>
      <x:c r="M36" s="176"/>
      <x:c r="N36" s="176"/>
      <x:c r="O36" s="176"/>
      <x:c r="P36" s="176"/>
      <x:c r="Q36" s="176"/>
      <x:c r="R36" s="176"/>
      <x:c r="S36" s="176"/>
      <x:c r="T36" s="176"/>
      <x:c r="U36" s="176"/>
      <x:c r="V36" s="176"/>
      <x:c r="W36" s="176"/>
      <x:c r="X36" s="176"/>
    </x:row>
    <x:row r="37">
      <x:c r="A37" s="176"/>
      <x:c r="B37" s="176"/>
      <x:c r="C37" s="176"/>
      <x:c r="D37" s="176"/>
      <x:c r="E37" s="176"/>
      <x:c r="F37" s="176"/>
      <x:c r="G37" s="176"/>
      <x:c r="H37" s="176"/>
      <x:c r="I37" s="176"/>
      <x:c r="J37" s="176"/>
      <x:c r="K37" s="176"/>
      <x:c r="L37" s="176"/>
      <x:c r="M37" s="176"/>
      <x:c r="N37" s="176"/>
      <x:c r="O37" s="176"/>
      <x:c r="P37" s="176"/>
      <x:c r="Q37" s="176"/>
      <x:c r="R37" s="176"/>
      <x:c r="S37" s="176"/>
      <x:c r="T37" s="176"/>
      <x:c r="U37" s="176"/>
      <x:c r="V37" s="176"/>
      <x:c r="W37" s="176"/>
      <x:c r="X37" s="176"/>
    </x:row>
    <x:row r="38">
      <x:c r="A38" s="176"/>
      <x:c r="B38" s="176"/>
      <x:c r="C38" s="176"/>
      <x:c r="D38" s="176"/>
      <x:c r="E38" s="176"/>
      <x:c r="F38" s="176"/>
      <x:c r="G38" s="176"/>
      <x:c r="H38" s="176"/>
      <x:c r="I38" s="176"/>
      <x:c r="J38" s="176"/>
      <x:c r="K38" s="176"/>
      <x:c r="L38" s="176"/>
      <x:c r="M38" s="176"/>
      <x:c r="N38" s="176"/>
      <x:c r="O38" s="176"/>
      <x:c r="P38" s="176"/>
      <x:c r="Q38" s="176"/>
      <x:c r="R38" s="176"/>
      <x:c r="S38" s="176"/>
      <x:c r="T38" s="176"/>
      <x:c r="U38" s="176"/>
      <x:c r="V38" s="176"/>
      <x:c r="W38" s="176"/>
      <x:c r="X38" s="176"/>
    </x:row>
    <x:row r="39">
      <x:c r="A39" s="176"/>
      <x:c r="B39" s="176"/>
      <x:c r="C39" s="176"/>
      <x:c r="D39" s="176"/>
      <x:c r="E39" s="176"/>
      <x:c r="F39" s="176"/>
      <x:c r="G39" s="176"/>
      <x:c r="H39" s="176"/>
      <x:c r="I39" s="176"/>
      <x:c r="J39" s="176"/>
      <x:c r="K39" s="176"/>
      <x:c r="L39" s="176"/>
      <x:c r="M39" s="176"/>
      <x:c r="N39" s="176"/>
      <x:c r="O39" s="176"/>
      <x:c r="P39" s="176"/>
      <x:c r="Q39" s="176"/>
      <x:c r="R39" s="176"/>
      <x:c r="S39" s="176"/>
      <x:c r="T39" s="176"/>
      <x:c r="U39" s="176"/>
      <x:c r="V39" s="176"/>
      <x:c r="W39" s="176"/>
      <x:c r="X39" s="176"/>
    </x:row>
    <x:row r="40">
      <x:c r="A40" s="176"/>
      <x:c r="B40" s="176"/>
      <x:c r="C40" s="176"/>
      <x:c r="D40" s="176"/>
      <x:c r="E40" s="176"/>
      <x:c r="F40" s="176"/>
      <x:c r="G40" s="176"/>
      <x:c r="H40" s="176"/>
      <x:c r="I40" s="176"/>
      <x:c r="J40" s="176"/>
      <x:c r="K40" s="176"/>
      <x:c r="L40" s="176"/>
      <x:c r="M40" s="176"/>
      <x:c r="N40" s="176"/>
      <x:c r="O40" s="176"/>
      <x:c r="P40" s="176"/>
      <x:c r="Q40" s="176"/>
      <x:c r="R40" s="176"/>
      <x:c r="S40" s="176"/>
      <x:c r="T40" s="176"/>
      <x:c r="U40" s="176"/>
      <x:c r="V40" s="176"/>
      <x:c r="W40" s="176"/>
      <x:c r="X40" s="176"/>
    </x:row>
    <x:row r="41">
      <x:c r="A41" s="176"/>
      <x:c r="B41" s="176"/>
      <x:c r="C41" s="176"/>
      <x:c r="D41" s="176"/>
      <x:c r="E41" s="176"/>
      <x:c r="F41" s="176"/>
      <x:c r="G41" s="176"/>
      <x:c r="H41" s="176"/>
      <x:c r="I41" s="176"/>
      <x:c r="J41" s="176"/>
      <x:c r="K41" s="176"/>
      <x:c r="L41" s="176"/>
      <x:c r="M41" s="176"/>
      <x:c r="N41" s="176"/>
      <x:c r="O41" s="176"/>
      <x:c r="P41" s="176"/>
      <x:c r="Q41" s="176"/>
      <x:c r="R41" s="176"/>
      <x:c r="S41" s="176"/>
      <x:c r="T41" s="176"/>
      <x:c r="U41" s="176"/>
      <x:c r="V41" s="176"/>
      <x:c r="W41" s="176"/>
      <x:c r="X41" s="176"/>
    </x:row>
    <x:row r="42">
      <x:c r="A42" s="176"/>
      <x:c r="B42" s="176"/>
      <x:c r="C42" s="176"/>
      <x:c r="D42" s="176"/>
      <x:c r="E42" s="176"/>
      <x:c r="F42" s="176"/>
      <x:c r="G42" s="176"/>
      <x:c r="H42" s="176"/>
      <x:c r="I42" s="176"/>
      <x:c r="J42" s="176"/>
      <x:c r="K42" s="176"/>
      <x:c r="L42" s="176"/>
      <x:c r="M42" s="176"/>
      <x:c r="N42" s="176"/>
      <x:c r="O42" s="176"/>
      <x:c r="P42" s="176"/>
      <x:c r="Q42" s="176"/>
      <x:c r="R42" s="176"/>
      <x:c r="S42" s="176"/>
      <x:c r="T42" s="176"/>
      <x:c r="U42" s="176"/>
      <x:c r="V42" s="176"/>
      <x:c r="W42" s="176"/>
      <x:c r="X42" s="176"/>
    </x:row>
    <x:row r="43">
      <x:c r="A43" s="176"/>
      <x:c r="B43" s="176"/>
      <x:c r="C43" s="176"/>
      <x:c r="D43" s="176"/>
      <x:c r="E43" s="176"/>
      <x:c r="F43" s="176"/>
      <x:c r="G43" s="176"/>
      <x:c r="H43" s="176"/>
      <x:c r="I43" s="176"/>
      <x:c r="J43" s="176"/>
      <x:c r="K43" s="176"/>
      <x:c r="L43" s="176"/>
      <x:c r="M43" s="176"/>
      <x:c r="N43" s="176"/>
      <x:c r="O43" s="176"/>
      <x:c r="P43" s="176"/>
      <x:c r="Q43" s="176"/>
      <x:c r="R43" s="176"/>
      <x:c r="S43" s="176"/>
      <x:c r="T43" s="176"/>
      <x:c r="U43" s="176"/>
      <x:c r="V43" s="176"/>
      <x:c r="W43" s="176"/>
      <x:c r="X43" s="176"/>
    </x:row>
    <x:row r="44">
      <x:c r="A44" s="176"/>
      <x:c r="B44" s="176"/>
      <x:c r="C44" s="176"/>
      <x:c r="D44" s="176"/>
      <x:c r="E44" s="176"/>
      <x:c r="F44" s="176"/>
      <x:c r="G44" s="176"/>
      <x:c r="H44" s="176"/>
      <x:c r="I44" s="176"/>
      <x:c r="J44" s="176"/>
      <x:c r="K44" s="176"/>
      <x:c r="L44" s="176"/>
      <x:c r="M44" s="176"/>
      <x:c r="N44" s="176"/>
      <x:c r="O44" s="176"/>
      <x:c r="P44" s="176"/>
      <x:c r="Q44" s="176"/>
      <x:c r="R44" s="176"/>
      <x:c r="S44" s="176"/>
      <x:c r="T44" s="176"/>
      <x:c r="U44" s="176"/>
      <x:c r="V44" s="176"/>
      <x:c r="W44" s="176"/>
      <x:c r="X44" s="176"/>
    </x:row>
    <x:row r="45">
      <x:c r="A45" s="176"/>
      <x:c r="B45" s="176"/>
      <x:c r="C45" s="176"/>
      <x:c r="D45" s="176"/>
      <x:c r="E45" s="176"/>
      <x:c r="F45" s="176"/>
      <x:c r="G45" s="176"/>
      <x:c r="H45" s="176"/>
      <x:c r="I45" s="176"/>
      <x:c r="J45" s="176"/>
      <x:c r="K45" s="176"/>
      <x:c r="L45" s="176"/>
      <x:c r="M45" s="176"/>
      <x:c r="N45" s="176"/>
      <x:c r="O45" s="176"/>
      <x:c r="P45" s="176"/>
      <x:c r="Q45" s="176"/>
      <x:c r="R45" s="176"/>
      <x:c r="S45" s="176"/>
      <x:c r="T45" s="176"/>
      <x:c r="U45" s="176"/>
      <x:c r="V45" s="176"/>
      <x:c r="W45" s="176"/>
      <x:c r="X45" s="176"/>
    </x:row>
    <x:row r="46">
      <x:c r="A46" s="176"/>
      <x:c r="B46" s="176"/>
      <x:c r="C46" s="176"/>
      <x:c r="D46" s="176"/>
      <x:c r="E46" s="176"/>
      <x:c r="F46" s="176"/>
      <x:c r="G46" s="176"/>
      <x:c r="H46" s="176"/>
      <x:c r="I46" s="176"/>
      <x:c r="J46" s="176"/>
      <x:c r="K46" s="176"/>
      <x:c r="L46" s="176"/>
      <x:c r="M46" s="176"/>
      <x:c r="N46" s="176"/>
      <x:c r="O46" s="176"/>
      <x:c r="P46" s="176"/>
      <x:c r="Q46" s="176"/>
      <x:c r="R46" s="176"/>
      <x:c r="S46" s="176"/>
      <x:c r="T46" s="176"/>
      <x:c r="U46" s="176"/>
      <x:c r="V46" s="176"/>
      <x:c r="W46" s="176"/>
      <x:c r="X46" s="176"/>
    </x:row>
    <x:row r="47">
      <x:c r="A47" s="176"/>
      <x:c r="B47" s="176"/>
      <x:c r="C47" s="176"/>
      <x:c r="D47" s="176"/>
      <x:c r="E47" s="176"/>
      <x:c r="F47" s="176"/>
      <x:c r="G47" s="176"/>
      <x:c r="H47" s="176"/>
      <x:c r="I47" s="176"/>
      <x:c r="J47" s="176"/>
      <x:c r="K47" s="176"/>
      <x:c r="L47" s="176"/>
      <x:c r="M47" s="176"/>
      <x:c r="N47" s="176"/>
      <x:c r="O47" s="176"/>
      <x:c r="P47" s="176"/>
      <x:c r="Q47" s="176"/>
      <x:c r="R47" s="176"/>
      <x:c r="S47" s="176"/>
      <x:c r="T47" s="176"/>
      <x:c r="U47" s="176"/>
      <x:c r="V47" s="176"/>
      <x:c r="W47" s="176"/>
      <x:c r="X47" s="176"/>
    </x:row>
    <x:row r="48">
      <x:c r="A48" s="176"/>
      <x:c r="B48" s="176"/>
      <x:c r="C48" s="176"/>
      <x:c r="D48" s="176"/>
      <x:c r="E48" s="176"/>
      <x:c r="F48" s="176"/>
      <x:c r="G48" s="176"/>
      <x:c r="H48" s="176"/>
      <x:c r="I48" s="176"/>
      <x:c r="J48" s="176"/>
      <x:c r="K48" s="176"/>
      <x:c r="L48" s="176"/>
      <x:c r="M48" s="176"/>
      <x:c r="N48" s="176"/>
      <x:c r="O48" s="176"/>
      <x:c r="P48" s="176"/>
      <x:c r="Q48" s="176"/>
      <x:c r="R48" s="176"/>
      <x:c r="S48" s="176"/>
      <x:c r="T48" s="176"/>
      <x:c r="U48" s="176"/>
      <x:c r="V48" s="176"/>
      <x:c r="W48" s="176"/>
      <x:c r="X48" s="176"/>
    </x:row>
    <x:row r="49">
      <x:c r="A49" s="176"/>
      <x:c r="B49" s="176"/>
      <x:c r="C49" s="176"/>
      <x:c r="D49" s="176"/>
      <x:c r="E49" s="176"/>
      <x:c r="F49" s="176"/>
      <x:c r="G49" s="176"/>
      <x:c r="H49" s="176"/>
      <x:c r="I49" s="176"/>
      <x:c r="J49" s="176"/>
      <x:c r="K49" s="176"/>
      <x:c r="L49" s="176"/>
      <x:c r="M49" s="176"/>
      <x:c r="N49" s="176"/>
      <x:c r="O49" s="176"/>
      <x:c r="P49" s="176"/>
      <x:c r="Q49" s="176"/>
      <x:c r="R49" s="176"/>
      <x:c r="S49" s="176"/>
      <x:c r="T49" s="176"/>
      <x:c r="U49" s="176"/>
      <x:c r="V49" s="176"/>
      <x:c r="W49" s="176"/>
      <x:c r="X49" s="176"/>
    </x:row>
    <x:row r="50">
      <x:c r="A50" s="176"/>
      <x:c r="B50" s="176"/>
      <x:c r="C50" s="176"/>
      <x:c r="D50" s="176"/>
      <x:c r="E50" s="176"/>
      <x:c r="F50" s="176"/>
      <x:c r="G50" s="176"/>
      <x:c r="H50" s="176"/>
      <x:c r="I50" s="176"/>
      <x:c r="J50" s="176"/>
      <x:c r="K50" s="176"/>
      <x:c r="L50" s="176"/>
      <x:c r="M50" s="176"/>
      <x:c r="N50" s="176"/>
      <x:c r="O50" s="176"/>
      <x:c r="P50" s="176"/>
      <x:c r="Q50" s="176"/>
      <x:c r="R50" s="176"/>
      <x:c r="S50" s="176"/>
      <x:c r="T50" s="176"/>
      <x:c r="U50" s="176"/>
      <x:c r="V50" s="176"/>
      <x:c r="W50" s="176"/>
      <x:c r="X50" s="176"/>
    </x:row>
    <x:row r="51">
      <x:c r="A51" s="176"/>
      <x:c r="B51" s="176"/>
      <x:c r="C51" s="176"/>
      <x:c r="D51" s="176"/>
      <x:c r="E51" s="176"/>
      <x:c r="F51" s="176"/>
      <x:c r="G51" s="176"/>
      <x:c r="H51" s="176"/>
      <x:c r="I51" s="176"/>
      <x:c r="J51" s="176"/>
      <x:c r="K51" s="176"/>
      <x:c r="L51" s="176"/>
      <x:c r="M51" s="176"/>
      <x:c r="N51" s="176"/>
      <x:c r="O51" s="176"/>
      <x:c r="P51" s="176"/>
      <x:c r="Q51" s="176"/>
      <x:c r="R51" s="176"/>
      <x:c r="S51" s="176"/>
      <x:c r="T51" s="176"/>
      <x:c r="U51" s="176"/>
      <x:c r="V51" s="176"/>
      <x:c r="W51" s="176"/>
      <x:c r="X51" s="176"/>
    </x:row>
    <x:row r="52">
      <x:c r="A52" s="176"/>
      <x:c r="B52" s="176"/>
      <x:c r="C52" s="176"/>
      <x:c r="D52" s="176"/>
      <x:c r="E52" s="176"/>
      <x:c r="F52" s="176"/>
      <x:c r="G52" s="176"/>
      <x:c r="H52" s="176"/>
      <x:c r="I52" s="176"/>
      <x:c r="J52" s="176"/>
      <x:c r="K52" s="176"/>
      <x:c r="L52" s="176"/>
      <x:c r="M52" s="176"/>
      <x:c r="N52" s="176"/>
      <x:c r="O52" s="176"/>
      <x:c r="P52" s="176"/>
      <x:c r="Q52" s="176"/>
      <x:c r="R52" s="176"/>
      <x:c r="S52" s="176"/>
      <x:c r="T52" s="176"/>
      <x:c r="U52" s="176"/>
      <x:c r="V52" s="176"/>
      <x:c r="W52" s="176"/>
      <x:c r="X52" s="176"/>
    </x:row>
    <x:row r="53">
      <x:c r="A53" s="176"/>
      <x:c r="B53" s="176"/>
      <x:c r="C53" s="176"/>
      <x:c r="D53" s="176"/>
      <x:c r="E53" s="176"/>
      <x:c r="F53" s="176"/>
      <x:c r="G53" s="176"/>
      <x:c r="H53" s="176"/>
      <x:c r="I53" s="176"/>
      <x:c r="J53" s="176"/>
      <x:c r="K53" s="176"/>
      <x:c r="L53" s="176"/>
      <x:c r="M53" s="176"/>
      <x:c r="N53" s="176"/>
      <x:c r="O53" s="176"/>
      <x:c r="P53" s="176"/>
      <x:c r="Q53" s="176"/>
      <x:c r="R53" s="176"/>
      <x:c r="S53" s="176"/>
      <x:c r="T53" s="176"/>
      <x:c r="U53" s="176"/>
      <x:c r="V53" s="176"/>
      <x:c r="W53" s="176"/>
      <x:c r="X53" s="176"/>
    </x:row>
    <x:row r="54">
      <x:c r="A54" s="176"/>
      <x:c r="B54" s="176"/>
      <x:c r="C54" s="176"/>
      <x:c r="D54" s="176"/>
      <x:c r="E54" s="176"/>
      <x:c r="F54" s="176"/>
      <x:c r="G54" s="176"/>
      <x:c r="H54" s="176"/>
      <x:c r="I54" s="176"/>
      <x:c r="J54" s="176"/>
      <x:c r="K54" s="176"/>
      <x:c r="L54" s="176"/>
      <x:c r="M54" s="176"/>
      <x:c r="N54" s="176"/>
      <x:c r="O54" s="176"/>
      <x:c r="P54" s="176"/>
      <x:c r="Q54" s="176"/>
      <x:c r="R54" s="176"/>
      <x:c r="S54" s="176"/>
      <x:c r="T54" s="176"/>
      <x:c r="U54" s="176"/>
      <x:c r="V54" s="176"/>
      <x:c r="W54" s="176"/>
      <x:c r="X54" s="176"/>
    </x:row>
    <x:row r="55">
      <x:c r="A55" s="176"/>
      <x:c r="B55" s="176"/>
      <x:c r="C55" s="176"/>
      <x:c r="D55" s="176"/>
      <x:c r="E55" s="176"/>
      <x:c r="F55" s="176"/>
      <x:c r="G55" s="176"/>
      <x:c r="H55" s="176"/>
      <x:c r="I55" s="176"/>
      <x:c r="J55" s="176"/>
      <x:c r="K55" s="176"/>
      <x:c r="L55" s="176"/>
      <x:c r="M55" s="176"/>
      <x:c r="N55" s="176"/>
      <x:c r="O55" s="176"/>
      <x:c r="P55" s="176"/>
      <x:c r="Q55" s="176"/>
      <x:c r="R55" s="176"/>
      <x:c r="S55" s="176"/>
      <x:c r="T55" s="176"/>
      <x:c r="U55" s="176"/>
      <x:c r="V55" s="176"/>
      <x:c r="W55" s="176"/>
      <x:c r="X55" s="176"/>
    </x:row>
    <x:row r="56">
      <x:c r="A56" s="176"/>
      <x:c r="B56" s="176"/>
      <x:c r="C56" s="176"/>
      <x:c r="D56" s="176"/>
      <x:c r="E56" s="176"/>
      <x:c r="F56" s="176"/>
      <x:c r="G56" s="176"/>
      <x:c r="H56" s="176"/>
      <x:c r="I56" s="176"/>
      <x:c r="J56" s="176"/>
      <x:c r="K56" s="176"/>
      <x:c r="L56" s="176"/>
      <x:c r="M56" s="176"/>
      <x:c r="N56" s="176"/>
      <x:c r="O56" s="176"/>
      <x:c r="P56" s="176"/>
      <x:c r="Q56" s="176"/>
      <x:c r="R56" s="176"/>
      <x:c r="S56" s="176"/>
      <x:c r="T56" s="176"/>
      <x:c r="U56" s="176"/>
      <x:c r="V56" s="176"/>
      <x:c r="W56" s="176"/>
      <x:c r="X56" s="176"/>
    </x:row>
    <x:row r="57">
      <x:c r="A57" s="176"/>
      <x:c r="B57" s="176"/>
      <x:c r="C57" s="176"/>
      <x:c r="D57" s="176"/>
      <x:c r="E57" s="176"/>
      <x:c r="F57" s="176"/>
      <x:c r="G57" s="176"/>
      <x:c r="H57" s="176"/>
      <x:c r="I57" s="176"/>
      <x:c r="J57" s="176"/>
      <x:c r="K57" s="176"/>
      <x:c r="L57" s="176"/>
      <x:c r="M57" s="176"/>
      <x:c r="N57" s="176"/>
      <x:c r="O57" s="176"/>
      <x:c r="P57" s="176"/>
      <x:c r="Q57" s="176"/>
      <x:c r="R57" s="176"/>
      <x:c r="S57" s="176"/>
      <x:c r="T57" s="176"/>
      <x:c r="U57" s="176"/>
      <x:c r="V57" s="176"/>
      <x:c r="W57" s="176"/>
      <x:c r="X57" s="176"/>
    </x:row>
    <x:row r="58">
      <x:c r="A58" s="176"/>
      <x:c r="B58" s="176"/>
      <x:c r="C58" s="176"/>
      <x:c r="D58" s="176"/>
      <x:c r="E58" s="176"/>
      <x:c r="F58" s="176"/>
      <x:c r="G58" s="176"/>
      <x:c r="H58" s="176"/>
      <x:c r="I58" s="176"/>
      <x:c r="J58" s="176"/>
      <x:c r="K58" s="176"/>
      <x:c r="L58" s="176"/>
      <x:c r="M58" s="176"/>
      <x:c r="N58" s="176"/>
      <x:c r="O58" s="176"/>
      <x:c r="P58" s="176"/>
      <x:c r="Q58" s="176"/>
      <x:c r="R58" s="176"/>
      <x:c r="S58" s="176"/>
      <x:c r="T58" s="176"/>
      <x:c r="U58" s="176"/>
      <x:c r="V58" s="176"/>
      <x:c r="W58" s="176"/>
      <x:c r="X58" s="176"/>
    </x:row>
    <x:row r="59">
      <x:c r="A59" s="176"/>
      <x:c r="B59" s="176"/>
      <x:c r="C59" s="176"/>
      <x:c r="D59" s="176"/>
      <x:c r="E59" s="176"/>
      <x:c r="F59" s="176"/>
      <x:c r="G59" s="176"/>
      <x:c r="H59" s="176"/>
      <x:c r="I59" s="176"/>
      <x:c r="J59" s="176"/>
      <x:c r="K59" s="176"/>
      <x:c r="L59" s="176"/>
      <x:c r="M59" s="176"/>
      <x:c r="N59" s="176"/>
      <x:c r="O59" s="176"/>
      <x:c r="P59" s="176"/>
      <x:c r="Q59" s="176"/>
      <x:c r="R59" s="176"/>
      <x:c r="S59" s="176"/>
      <x:c r="T59" s="176"/>
      <x:c r="U59" s="176"/>
      <x:c r="V59" s="176"/>
      <x:c r="W59" s="176"/>
      <x:c r="X59" s="176"/>
    </x:row>
    <x:row r="60">
      <x:c r="A60" s="176"/>
      <x:c r="B60" s="176"/>
      <x:c r="C60" s="176"/>
      <x:c r="D60" s="176"/>
      <x:c r="E60" s="176"/>
      <x:c r="F60" s="176"/>
      <x:c r="G60" s="176"/>
      <x:c r="H60" s="176"/>
      <x:c r="I60" s="176"/>
      <x:c r="J60" s="176"/>
      <x:c r="K60" s="176"/>
      <x:c r="L60" s="176"/>
      <x:c r="M60" s="176"/>
      <x:c r="N60" s="176"/>
      <x:c r="O60" s="176"/>
      <x:c r="P60" s="176"/>
      <x:c r="Q60" s="176"/>
      <x:c r="R60" s="176"/>
      <x:c r="S60" s="176"/>
      <x:c r="T60" s="176"/>
      <x:c r="U60" s="176"/>
      <x:c r="V60" s="176"/>
      <x:c r="W60" s="176"/>
      <x:c r="X60" s="176"/>
    </x:row>
    <x:row r="61">
      <x:c r="A61" s="176"/>
      <x:c r="B61" s="176"/>
      <x:c r="C61" s="176"/>
      <x:c r="D61" s="176"/>
      <x:c r="E61" s="176"/>
      <x:c r="F61" s="176"/>
      <x:c r="G61" s="176"/>
      <x:c r="H61" s="176"/>
      <x:c r="I61" s="176"/>
      <x:c r="J61" s="176"/>
      <x:c r="K61" s="176"/>
      <x:c r="L61" s="176"/>
      <x:c r="M61" s="176"/>
      <x:c r="N61" s="176"/>
      <x:c r="O61" s="176"/>
      <x:c r="P61" s="176"/>
      <x:c r="Q61" s="176"/>
      <x:c r="R61" s="176"/>
      <x:c r="S61" s="176"/>
      <x:c r="T61" s="176"/>
      <x:c r="U61" s="176"/>
      <x:c r="V61" s="176"/>
      <x:c r="W61" s="176"/>
      <x:c r="X61" s="176"/>
    </x:row>
    <x:row r="62">
      <x:c r="A62" s="176"/>
      <x:c r="B62" s="176"/>
      <x:c r="C62" s="176"/>
      <x:c r="D62" s="176"/>
      <x:c r="E62" s="176"/>
      <x:c r="F62" s="176"/>
      <x:c r="G62" s="176"/>
      <x:c r="H62" s="176"/>
      <x:c r="I62" s="176"/>
      <x:c r="J62" s="176"/>
      <x:c r="K62" s="176"/>
      <x:c r="L62" s="176"/>
      <x:c r="M62" s="176"/>
      <x:c r="N62" s="176"/>
      <x:c r="O62" s="176"/>
      <x:c r="P62" s="176"/>
      <x:c r="Q62" s="176"/>
      <x:c r="R62" s="176"/>
      <x:c r="S62" s="176"/>
      <x:c r="T62" s="176"/>
      <x:c r="U62" s="176"/>
      <x:c r="V62" s="176"/>
      <x:c r="W62" s="176"/>
      <x:c r="X62" s="176"/>
    </x:row>
    <x:row r="63">
      <x:c r="A63" s="176"/>
      <x:c r="B63" s="176"/>
      <x:c r="C63" s="176"/>
      <x:c r="D63" s="176"/>
      <x:c r="E63" s="176"/>
      <x:c r="F63" s="176"/>
      <x:c r="G63" s="176"/>
      <x:c r="H63" s="176"/>
      <x:c r="I63" s="176"/>
      <x:c r="J63" s="176"/>
      <x:c r="K63" s="176"/>
      <x:c r="L63" s="176"/>
      <x:c r="M63" s="176"/>
      <x:c r="N63" s="176"/>
      <x:c r="O63" s="176"/>
      <x:c r="P63" s="176"/>
      <x:c r="Q63" s="176"/>
      <x:c r="R63" s="176"/>
      <x:c r="S63" s="176"/>
      <x:c r="T63" s="176"/>
      <x:c r="U63" s="176"/>
      <x:c r="V63" s="176"/>
      <x:c r="W63" s="176"/>
      <x:c r="X63" s="176"/>
    </x:row>
    <x:row r="64">
      <x:c r="A64" s="176"/>
      <x:c r="B64" s="176"/>
      <x:c r="C64" s="176"/>
      <x:c r="D64" s="176"/>
      <x:c r="E64" s="176"/>
      <x:c r="F64" s="176"/>
      <x:c r="G64" s="176"/>
      <x:c r="H64" s="176"/>
      <x:c r="I64" s="176"/>
      <x:c r="J64" s="176"/>
      <x:c r="K64" s="176"/>
      <x:c r="L64" s="176"/>
      <x:c r="M64" s="176"/>
      <x:c r="N64" s="176"/>
      <x:c r="O64" s="176"/>
      <x:c r="P64" s="176"/>
      <x:c r="Q64" s="176"/>
      <x:c r="R64" s="176"/>
      <x:c r="S64" s="176"/>
      <x:c r="T64" s="176"/>
      <x:c r="U64" s="176"/>
      <x:c r="V64" s="176"/>
      <x:c r="W64" s="176"/>
      <x:c r="X64" s="176"/>
    </x:row>
    <x:row r="65">
      <x:c r="A65" s="176"/>
      <x:c r="B65" s="176"/>
      <x:c r="C65" s="176"/>
      <x:c r="D65" s="176"/>
      <x:c r="E65" s="176"/>
      <x:c r="F65" s="176"/>
      <x:c r="G65" s="176"/>
      <x:c r="H65" s="176"/>
      <x:c r="I65" s="176"/>
      <x:c r="J65" s="176"/>
      <x:c r="K65" s="176"/>
      <x:c r="L65" s="176"/>
      <x:c r="M65" s="176"/>
      <x:c r="N65" s="176"/>
      <x:c r="O65" s="176"/>
      <x:c r="P65" s="176"/>
      <x:c r="Q65" s="176"/>
      <x:c r="R65" s="176"/>
      <x:c r="S65" s="176"/>
      <x:c r="T65" s="176"/>
      <x:c r="U65" s="176"/>
      <x:c r="V65" s="176"/>
      <x:c r="W65" s="176"/>
      <x:c r="X65" s="176"/>
    </x:row>
    <x:row r="66">
      <x:c r="A66" s="176"/>
      <x:c r="B66" s="176"/>
      <x:c r="C66" s="176"/>
      <x:c r="D66" s="176"/>
      <x:c r="E66" s="176"/>
      <x:c r="F66" s="176"/>
      <x:c r="G66" s="176"/>
      <x:c r="H66" s="176"/>
      <x:c r="I66" s="176"/>
      <x:c r="J66" s="176"/>
      <x:c r="K66" s="176"/>
      <x:c r="L66" s="176"/>
      <x:c r="M66" s="176"/>
      <x:c r="N66" s="176"/>
      <x:c r="O66" s="176"/>
      <x:c r="P66" s="176"/>
      <x:c r="Q66" s="176"/>
      <x:c r="R66" s="176"/>
      <x:c r="S66" s="176"/>
      <x:c r="T66" s="176"/>
      <x:c r="U66" s="176"/>
      <x:c r="V66" s="176"/>
      <x:c r="W66" s="176"/>
      <x:c r="X66" s="176"/>
    </x:row>
    <x:row r="67">
      <x:c r="A67" s="176"/>
      <x:c r="B67" s="176"/>
      <x:c r="C67" s="176"/>
      <x:c r="D67" s="176"/>
      <x:c r="E67" s="176"/>
      <x:c r="F67" s="176"/>
      <x:c r="G67" s="176"/>
      <x:c r="H67" s="176"/>
      <x:c r="I67" s="176"/>
      <x:c r="J67" s="176"/>
      <x:c r="K67" s="176"/>
      <x:c r="L67" s="176"/>
      <x:c r="M67" s="176"/>
      <x:c r="N67" s="176"/>
      <x:c r="O67" s="176"/>
      <x:c r="P67" s="176"/>
      <x:c r="Q67" s="176"/>
      <x:c r="R67" s="176"/>
      <x:c r="S67" s="176"/>
      <x:c r="T67" s="176"/>
      <x:c r="U67" s="176"/>
      <x:c r="V67" s="176"/>
      <x:c r="W67" s="176"/>
      <x:c r="X67" s="176"/>
    </x:row>
    <x:row r="68">
      <x:c r="A68" s="176"/>
      <x:c r="B68" s="176"/>
      <x:c r="C68" s="176"/>
      <x:c r="D68" s="176"/>
      <x:c r="E68" s="176"/>
      <x:c r="F68" s="176"/>
      <x:c r="G68" s="176"/>
      <x:c r="H68" s="176"/>
      <x:c r="I68" s="176"/>
      <x:c r="J68" s="176"/>
      <x:c r="K68" s="176"/>
      <x:c r="L68" s="176"/>
      <x:c r="M68" s="176"/>
      <x:c r="N68" s="176"/>
      <x:c r="O68" s="176"/>
      <x:c r="P68" s="176"/>
      <x:c r="Q68" s="176"/>
      <x:c r="R68" s="176"/>
      <x:c r="S68" s="176"/>
      <x:c r="T68" s="176"/>
      <x:c r="U68" s="176"/>
      <x:c r="V68" s="176"/>
      <x:c r="W68" s="176"/>
      <x:c r="X68" s="176"/>
    </x:row>
    <x:row r="69">
      <x:c r="A69" s="176"/>
      <x:c r="B69" s="176"/>
      <x:c r="C69" s="176"/>
      <x:c r="D69" s="176"/>
      <x:c r="E69" s="176"/>
      <x:c r="F69" s="176"/>
      <x:c r="G69" s="176"/>
      <x:c r="H69" s="176"/>
      <x:c r="I69" s="176"/>
      <x:c r="J69" s="176"/>
      <x:c r="K69" s="176"/>
      <x:c r="L69" s="176"/>
      <x:c r="M69" s="176"/>
      <x:c r="N69" s="176"/>
      <x:c r="O69" s="176"/>
      <x:c r="P69" s="176"/>
      <x:c r="Q69" s="176"/>
      <x:c r="R69" s="176"/>
      <x:c r="S69" s="176"/>
      <x:c r="T69" s="176"/>
      <x:c r="U69" s="176"/>
      <x:c r="V69" s="176"/>
      <x:c r="W69" s="176"/>
      <x:c r="X69" s="176"/>
    </x:row>
    <x:row r="70">
      <x:c r="A70" s="176"/>
      <x:c r="B70" s="176"/>
      <x:c r="C70" s="176"/>
      <x:c r="D70" s="176"/>
      <x:c r="E70" s="176"/>
      <x:c r="F70" s="176"/>
      <x:c r="G70" s="176"/>
      <x:c r="H70" s="176"/>
      <x:c r="I70" s="176"/>
      <x:c r="J70" s="176"/>
      <x:c r="K70" s="176"/>
      <x:c r="L70" s="176"/>
      <x:c r="M70" s="176"/>
      <x:c r="N70" s="176"/>
      <x:c r="O70" s="176"/>
      <x:c r="P70" s="176"/>
      <x:c r="Q70" s="176"/>
      <x:c r="R70" s="176"/>
      <x:c r="S70" s="176"/>
      <x:c r="T70" s="176"/>
      <x:c r="U70" s="176"/>
      <x:c r="V70" s="176"/>
      <x:c r="W70" s="176"/>
      <x:c r="X70" s="176"/>
    </x:row>
    <x:row r="71">
      <x:c r="A71" s="176"/>
      <x:c r="B71" s="176"/>
      <x:c r="C71" s="176"/>
      <x:c r="D71" s="176"/>
      <x:c r="E71" s="176"/>
      <x:c r="F71" s="176"/>
      <x:c r="G71" s="176"/>
      <x:c r="H71" s="176"/>
      <x:c r="I71" s="176"/>
      <x:c r="J71" s="176"/>
      <x:c r="K71" s="176"/>
      <x:c r="L71" s="176"/>
      <x:c r="M71" s="176"/>
      <x:c r="N71" s="176"/>
      <x:c r="O71" s="176"/>
      <x:c r="P71" s="176"/>
      <x:c r="Q71" s="176"/>
      <x:c r="R71" s="176"/>
      <x:c r="S71" s="176"/>
      <x:c r="T71" s="176"/>
      <x:c r="U71" s="176"/>
      <x:c r="V71" s="176"/>
      <x:c r="W71" s="176"/>
      <x:c r="X71" s="176"/>
    </x:row>
    <x:row r="72">
      <x:c r="A72" s="176"/>
      <x:c r="B72" s="176"/>
      <x:c r="C72" s="176"/>
      <x:c r="D72" s="176"/>
      <x:c r="E72" s="176"/>
      <x:c r="F72" s="176"/>
      <x:c r="G72" s="176"/>
      <x:c r="H72" s="176"/>
      <x:c r="I72" s="176"/>
      <x:c r="J72" s="176"/>
      <x:c r="K72" s="176"/>
      <x:c r="L72" s="176"/>
      <x:c r="M72" s="176"/>
      <x:c r="N72" s="176"/>
      <x:c r="O72" s="176"/>
      <x:c r="P72" s="176"/>
      <x:c r="Q72" s="176"/>
      <x:c r="R72" s="176"/>
      <x:c r="S72" s="176"/>
      <x:c r="T72" s="176"/>
      <x:c r="U72" s="176"/>
      <x:c r="V72" s="176"/>
      <x:c r="W72" s="176"/>
      <x:c r="X72" s="176"/>
    </x:row>
    <x:row r="73">
      <x:c r="A73" s="176"/>
      <x:c r="B73" s="176"/>
      <x:c r="C73" s="176"/>
      <x:c r="D73" s="176"/>
      <x:c r="E73" s="176"/>
      <x:c r="F73" s="176"/>
      <x:c r="G73" s="176"/>
      <x:c r="H73" s="176"/>
      <x:c r="I73" s="176"/>
      <x:c r="J73" s="176"/>
      <x:c r="K73" s="176"/>
      <x:c r="L73" s="176"/>
      <x:c r="M73" s="176"/>
      <x:c r="N73" s="176"/>
      <x:c r="O73" s="176"/>
      <x:c r="P73" s="176"/>
      <x:c r="Q73" s="176"/>
      <x:c r="R73" s="176"/>
      <x:c r="S73" s="176"/>
      <x:c r="T73" s="176"/>
      <x:c r="U73" s="176"/>
      <x:c r="V73" s="176"/>
      <x:c r="W73" s="176"/>
      <x:c r="X73" s="176"/>
    </x:row>
    <x:row r="74">
      <x:c r="A74" s="176"/>
      <x:c r="B74" s="176"/>
      <x:c r="C74" s="176"/>
      <x:c r="D74" s="176"/>
      <x:c r="E74" s="176"/>
      <x:c r="F74" s="176"/>
      <x:c r="G74" s="176"/>
      <x:c r="H74" s="176"/>
      <x:c r="I74" s="176"/>
      <x:c r="J74" s="176"/>
      <x:c r="K74" s="176"/>
      <x:c r="L74" s="176"/>
      <x:c r="M74" s="176"/>
      <x:c r="N74" s="176"/>
      <x:c r="O74" s="176"/>
      <x:c r="P74" s="176"/>
      <x:c r="Q74" s="176"/>
      <x:c r="R74" s="176"/>
      <x:c r="S74" s="176"/>
      <x:c r="T74" s="176"/>
      <x:c r="U74" s="176"/>
      <x:c r="V74" s="176"/>
      <x:c r="W74" s="176"/>
      <x:c r="X74" s="176"/>
    </x:row>
    <x:row r="75">
      <x:c r="A75" s="176"/>
      <x:c r="B75" s="176"/>
      <x:c r="C75" s="176"/>
      <x:c r="D75" s="176"/>
      <x:c r="E75" s="176"/>
      <x:c r="F75" s="176"/>
      <x:c r="G75" s="176"/>
      <x:c r="H75" s="176"/>
      <x:c r="I75" s="176"/>
      <x:c r="J75" s="176"/>
      <x:c r="K75" s="176"/>
      <x:c r="L75" s="176"/>
      <x:c r="M75" s="176"/>
      <x:c r="N75" s="176"/>
      <x:c r="O75" s="176"/>
      <x:c r="P75" s="176"/>
      <x:c r="Q75" s="176"/>
      <x:c r="R75" s="176"/>
      <x:c r="S75" s="176"/>
      <x:c r="T75" s="176"/>
      <x:c r="U75" s="176"/>
      <x:c r="V75" s="176"/>
      <x:c r="W75" s="176"/>
      <x:c r="X75" s="176"/>
    </x:row>
    <x:row r="76">
      <x:c r="A76" s="176"/>
      <x:c r="B76" s="176"/>
      <x:c r="C76" s="176"/>
      <x:c r="D76" s="176"/>
      <x:c r="E76" s="176"/>
      <x:c r="F76" s="176"/>
      <x:c r="G76" s="176"/>
      <x:c r="H76" s="176"/>
      <x:c r="I76" s="176"/>
      <x:c r="J76" s="176"/>
      <x:c r="K76" s="176"/>
      <x:c r="L76" s="176"/>
      <x:c r="M76" s="176"/>
      <x:c r="N76" s="176"/>
      <x:c r="O76" s="176"/>
      <x:c r="P76" s="176"/>
      <x:c r="Q76" s="176"/>
      <x:c r="R76" s="176"/>
      <x:c r="S76" s="176"/>
      <x:c r="T76" s="176"/>
      <x:c r="U76" s="176"/>
      <x:c r="V76" s="176"/>
      <x:c r="W76" s="176"/>
      <x:c r="X76" s="176"/>
    </x:row>
    <x:row r="77">
      <x:c r="A77" s="176"/>
      <x:c r="B77" s="176"/>
      <x:c r="C77" s="176"/>
      <x:c r="D77" s="176"/>
      <x:c r="E77" s="176"/>
      <x:c r="F77" s="176"/>
      <x:c r="G77" s="176"/>
      <x:c r="H77" s="176"/>
      <x:c r="I77" s="176"/>
      <x:c r="J77" s="176"/>
      <x:c r="K77" s="176"/>
      <x:c r="L77" s="176"/>
      <x:c r="M77" s="176"/>
      <x:c r="N77" s="176"/>
      <x:c r="O77" s="176"/>
      <x:c r="P77" s="176"/>
      <x:c r="Q77" s="176"/>
      <x:c r="R77" s="176"/>
      <x:c r="S77" s="176"/>
      <x:c r="T77" s="176"/>
      <x:c r="U77" s="176"/>
      <x:c r="V77" s="176"/>
      <x:c r="W77" s="176"/>
      <x:c r="X77" s="176"/>
    </x:row>
    <x:row r="78">
      <x:c r="A78" s="176"/>
      <x:c r="B78" s="176"/>
      <x:c r="C78" s="176"/>
      <x:c r="D78" s="176"/>
      <x:c r="E78" s="176"/>
      <x:c r="F78" s="176"/>
      <x:c r="G78" s="176"/>
      <x:c r="H78" s="176"/>
      <x:c r="I78" s="176"/>
      <x:c r="J78" s="176"/>
      <x:c r="K78" s="176"/>
      <x:c r="L78" s="176"/>
      <x:c r="M78" s="176"/>
      <x:c r="N78" s="176"/>
      <x:c r="O78" s="176"/>
      <x:c r="P78" s="176"/>
      <x:c r="Q78" s="176"/>
      <x:c r="R78" s="176"/>
      <x:c r="S78" s="176"/>
      <x:c r="T78" s="176"/>
      <x:c r="U78" s="176"/>
      <x:c r="V78" s="176"/>
      <x:c r="W78" s="176"/>
      <x:c r="X78" s="176"/>
    </x:row>
    <x:row r="79">
      <x:c r="A79" s="176"/>
      <x:c r="B79" s="176"/>
      <x:c r="C79" s="176"/>
      <x:c r="D79" s="176"/>
      <x:c r="E79" s="176"/>
      <x:c r="F79" s="176"/>
      <x:c r="G79" s="176"/>
      <x:c r="H79" s="176"/>
      <x:c r="I79" s="176"/>
      <x:c r="J79" s="176"/>
      <x:c r="K79" s="176"/>
      <x:c r="L79" s="176"/>
      <x:c r="M79" s="176"/>
      <x:c r="N79" s="176"/>
      <x:c r="O79" s="176"/>
      <x:c r="P79" s="176"/>
      <x:c r="Q79" s="176"/>
      <x:c r="R79" s="176"/>
      <x:c r="S79" s="176"/>
      <x:c r="T79" s="176"/>
      <x:c r="U79" s="176"/>
      <x:c r="V79" s="176"/>
      <x:c r="W79" s="176"/>
      <x:c r="X79" s="176"/>
    </x:row>
    <x:row r="80">
      <x:c r="A80" s="176"/>
      <x:c r="B80" s="176"/>
      <x:c r="C80" s="176"/>
      <x:c r="D80" s="176"/>
      <x:c r="E80" s="176"/>
      <x:c r="F80" s="176"/>
      <x:c r="G80" s="176"/>
      <x:c r="H80" s="176"/>
      <x:c r="I80" s="176"/>
      <x:c r="J80" s="176"/>
      <x:c r="K80" s="176"/>
      <x:c r="L80" s="176"/>
      <x:c r="M80" s="176"/>
      <x:c r="N80" s="176"/>
      <x:c r="O80" s="176"/>
      <x:c r="P80" s="176"/>
      <x:c r="Q80" s="176"/>
      <x:c r="R80" s="176"/>
      <x:c r="S80" s="176"/>
      <x:c r="T80" s="176"/>
      <x:c r="U80" s="176"/>
      <x:c r="V80" s="176"/>
      <x:c r="W80" s="176"/>
      <x:c r="X80" s="176"/>
    </x:row>
    <x:row r="81">
      <x:c r="A81" s="176"/>
      <x:c r="B81" s="176"/>
      <x:c r="C81" s="176"/>
      <x:c r="D81" s="176"/>
      <x:c r="E81" s="176"/>
      <x:c r="F81" s="176"/>
      <x:c r="G81" s="176"/>
      <x:c r="H81" s="176"/>
      <x:c r="I81" s="176"/>
      <x:c r="J81" s="176"/>
      <x:c r="K81" s="176"/>
      <x:c r="L81" s="176"/>
      <x:c r="M81" s="176"/>
      <x:c r="N81" s="176"/>
      <x:c r="O81" s="176"/>
      <x:c r="P81" s="176"/>
      <x:c r="Q81" s="176"/>
      <x:c r="R81" s="176"/>
      <x:c r="S81" s="176"/>
      <x:c r="T81" s="176"/>
      <x:c r="U81" s="176"/>
      <x:c r="V81" s="176"/>
      <x:c r="W81" s="176"/>
      <x:c r="X81" s="176"/>
    </x:row>
    <x:row r="82">
      <x:c r="A82" s="176"/>
      <x:c r="B82" s="176"/>
      <x:c r="C82" s="176"/>
      <x:c r="D82" s="176"/>
      <x:c r="E82" s="176"/>
      <x:c r="F82" s="176"/>
      <x:c r="G82" s="176"/>
      <x:c r="H82" s="176"/>
      <x:c r="I82" s="176"/>
      <x:c r="J82" s="176"/>
      <x:c r="K82" s="176"/>
      <x:c r="L82" s="176"/>
      <x:c r="M82" s="176"/>
      <x:c r="N82" s="176"/>
      <x:c r="O82" s="176"/>
      <x:c r="P82" s="176"/>
      <x:c r="Q82" s="176"/>
      <x:c r="R82" s="176"/>
      <x:c r="S82" s="176"/>
      <x:c r="T82" s="176"/>
      <x:c r="U82" s="176"/>
      <x:c r="V82" s="176"/>
      <x:c r="W82" s="176"/>
      <x:c r="X82" s="176"/>
    </x:row>
    <x:row r="83">
      <x:c r="A83" s="176"/>
      <x:c r="B83" s="176"/>
      <x:c r="C83" s="176"/>
      <x:c r="D83" s="176"/>
      <x:c r="E83" s="176"/>
      <x:c r="F83" s="176"/>
      <x:c r="G83" s="176"/>
      <x:c r="H83" s="176"/>
      <x:c r="I83" s="176"/>
      <x:c r="J83" s="176"/>
      <x:c r="K83" s="176"/>
      <x:c r="L83" s="176"/>
      <x:c r="M83" s="176"/>
      <x:c r="N83" s="176"/>
      <x:c r="O83" s="176"/>
      <x:c r="P83" s="176"/>
      <x:c r="Q83" s="176"/>
      <x:c r="R83" s="176"/>
      <x:c r="S83" s="176"/>
      <x:c r="T83" s="176"/>
      <x:c r="U83" s="176"/>
      <x:c r="V83" s="176"/>
      <x:c r="W83" s="176"/>
      <x:c r="X83" s="176"/>
    </x:row>
    <x:row r="84">
      <x:c r="A84" s="176"/>
      <x:c r="B84" s="176"/>
      <x:c r="C84" s="176"/>
      <x:c r="D84" s="176"/>
      <x:c r="E84" s="176"/>
      <x:c r="F84" s="176"/>
      <x:c r="G84" s="176"/>
      <x:c r="H84" s="176"/>
      <x:c r="I84" s="176"/>
      <x:c r="J84" s="176"/>
      <x:c r="K84" s="176"/>
      <x:c r="L84" s="176"/>
      <x:c r="M84" s="176"/>
      <x:c r="N84" s="176"/>
      <x:c r="O84" s="176"/>
      <x:c r="P84" s="176"/>
      <x:c r="Q84" s="176"/>
      <x:c r="R84" s="176"/>
      <x:c r="S84" s="176"/>
      <x:c r="T84" s="176"/>
      <x:c r="U84" s="176"/>
      <x:c r="V84" s="176"/>
      <x:c r="W84" s="176"/>
      <x:c r="X84" s="176"/>
    </x:row>
    <x:row r="85">
      <x:c r="A85" s="176"/>
      <x:c r="B85" s="176"/>
      <x:c r="C85" s="176"/>
      <x:c r="D85" s="176"/>
      <x:c r="E85" s="176"/>
      <x:c r="F85" s="176"/>
      <x:c r="G85" s="176"/>
      <x:c r="H85" s="176"/>
      <x:c r="I85" s="176"/>
      <x:c r="J85" s="176"/>
      <x:c r="K85" s="176"/>
      <x:c r="L85" s="176"/>
      <x:c r="M85" s="176"/>
      <x:c r="N85" s="176"/>
      <x:c r="O85" s="176"/>
      <x:c r="P85" s="176"/>
      <x:c r="Q85" s="176"/>
      <x:c r="R85" s="176"/>
      <x:c r="S85" s="176"/>
      <x:c r="T85" s="176"/>
      <x:c r="U85" s="176"/>
      <x:c r="V85" s="176"/>
      <x:c r="W85" s="176"/>
      <x:c r="X85" s="176"/>
    </x:row>
    <x:row r="86">
      <x:c r="A86" s="176"/>
      <x:c r="B86" s="176"/>
      <x:c r="C86" s="176"/>
      <x:c r="D86" s="176"/>
      <x:c r="E86" s="176"/>
      <x:c r="F86" s="176"/>
      <x:c r="G86" s="176"/>
      <x:c r="H86" s="176"/>
      <x:c r="I86" s="176"/>
      <x:c r="J86" s="176"/>
      <x:c r="K86" s="176"/>
      <x:c r="L86" s="176"/>
      <x:c r="M86" s="176"/>
      <x:c r="N86" s="176"/>
      <x:c r="O86" s="176"/>
      <x:c r="P86" s="176"/>
      <x:c r="Q86" s="176"/>
      <x:c r="R86" s="176"/>
      <x:c r="S86" s="176"/>
      <x:c r="T86" s="176"/>
      <x:c r="U86" s="176"/>
      <x:c r="V86" s="176"/>
      <x:c r="W86" s="176"/>
      <x:c r="X86" s="176"/>
    </x:row>
    <x:row r="87">
      <x:c r="A87" s="176"/>
      <x:c r="B87" s="176"/>
      <x:c r="C87" s="176"/>
      <x:c r="D87" s="176"/>
      <x:c r="E87" s="176"/>
      <x:c r="F87" s="176"/>
      <x:c r="G87" s="176"/>
      <x:c r="H87" s="176"/>
      <x:c r="I87" s="176"/>
      <x:c r="J87" s="176"/>
      <x:c r="K87" s="176"/>
      <x:c r="L87" s="176"/>
      <x:c r="M87" s="176"/>
      <x:c r="N87" s="176"/>
      <x:c r="O87" s="176"/>
      <x:c r="P87" s="176"/>
      <x:c r="Q87" s="176"/>
      <x:c r="R87" s="176"/>
      <x:c r="S87" s="176"/>
      <x:c r="T87" s="176"/>
      <x:c r="U87" s="176"/>
      <x:c r="V87" s="176"/>
      <x:c r="W87" s="176"/>
      <x:c r="X87" s="176"/>
    </x:row>
    <x:row r="88">
      <x:c r="A88" s="176"/>
      <x:c r="B88" s="176"/>
      <x:c r="C88" s="176"/>
      <x:c r="D88" s="176"/>
      <x:c r="E88" s="176"/>
      <x:c r="F88" s="176"/>
      <x:c r="G88" s="176"/>
      <x:c r="H88" s="176"/>
      <x:c r="I88" s="176"/>
      <x:c r="J88" s="176"/>
      <x:c r="K88" s="176"/>
      <x:c r="L88" s="176"/>
      <x:c r="M88" s="176"/>
      <x:c r="N88" s="176"/>
      <x:c r="O88" s="176"/>
      <x:c r="P88" s="176"/>
      <x:c r="Q88" s="176"/>
      <x:c r="R88" s="176"/>
      <x:c r="S88" s="176"/>
      <x:c r="T88" s="176"/>
      <x:c r="U88" s="176"/>
      <x:c r="V88" s="176"/>
      <x:c r="W88" s="176"/>
      <x:c r="X88" s="176"/>
    </x:row>
    <x:row r="89">
      <x:c r="A89" s="176"/>
      <x:c r="B89" s="176"/>
      <x:c r="C89" s="176"/>
      <x:c r="D89" s="176"/>
      <x:c r="E89" s="176"/>
      <x:c r="F89" s="176"/>
      <x:c r="G89" s="176"/>
      <x:c r="H89" s="176"/>
      <x:c r="I89" s="176"/>
      <x:c r="J89" s="176"/>
      <x:c r="K89" s="176"/>
      <x:c r="L89" s="176"/>
      <x:c r="M89" s="176"/>
      <x:c r="N89" s="176"/>
      <x:c r="O89" s="176"/>
      <x:c r="P89" s="176"/>
      <x:c r="Q89" s="176"/>
      <x:c r="R89" s="176"/>
      <x:c r="S89" s="176"/>
      <x:c r="T89" s="176"/>
      <x:c r="U89" s="176"/>
      <x:c r="V89" s="176"/>
      <x:c r="W89" s="176"/>
      <x:c r="X89" s="176"/>
    </x:row>
    <x:row r="90">
      <x:c r="A90" s="176"/>
      <x:c r="B90" s="176"/>
      <x:c r="C90" s="176"/>
      <x:c r="D90" s="176"/>
      <x:c r="E90" s="176"/>
      <x:c r="F90" s="176"/>
      <x:c r="G90" s="176"/>
      <x:c r="H90" s="176"/>
      <x:c r="I90" s="176"/>
      <x:c r="J90" s="176"/>
      <x:c r="K90" s="176"/>
      <x:c r="L90" s="176"/>
      <x:c r="M90" s="176"/>
      <x:c r="N90" s="176"/>
      <x:c r="O90" s="176"/>
      <x:c r="P90" s="176"/>
      <x:c r="Q90" s="176"/>
      <x:c r="R90" s="176"/>
      <x:c r="S90" s="176"/>
      <x:c r="T90" s="176"/>
      <x:c r="U90" s="176"/>
      <x:c r="V90" s="176"/>
      <x:c r="W90" s="176"/>
      <x:c r="X90" s="176"/>
    </x:row>
    <x:row r="91">
      <x:c r="A91" s="176"/>
      <x:c r="B91" s="176"/>
      <x:c r="C91" s="176"/>
      <x:c r="D91" s="176"/>
      <x:c r="E91" s="176"/>
      <x:c r="F91" s="176"/>
      <x:c r="G91" s="176"/>
      <x:c r="H91" s="176"/>
      <x:c r="I91" s="176"/>
      <x:c r="J91" s="176"/>
      <x:c r="K91" s="176"/>
      <x:c r="L91" s="176"/>
      <x:c r="M91" s="176"/>
      <x:c r="N91" s="176"/>
      <x:c r="O91" s="176"/>
      <x:c r="P91" s="176"/>
      <x:c r="Q91" s="176"/>
      <x:c r="R91" s="176"/>
      <x:c r="S91" s="176"/>
      <x:c r="T91" s="176"/>
      <x:c r="U91" s="176"/>
      <x:c r="V91" s="176"/>
      <x:c r="W91" s="176"/>
      <x:c r="X91" s="176"/>
    </x:row>
    <x:row r="92">
      <x:c r="A92" s="176"/>
      <x:c r="B92" s="176"/>
      <x:c r="C92" s="176"/>
      <x:c r="D92" s="176"/>
      <x:c r="E92" s="176"/>
      <x:c r="F92" s="176"/>
      <x:c r="G92" s="176"/>
      <x:c r="H92" s="176"/>
      <x:c r="I92" s="176"/>
      <x:c r="J92" s="176"/>
      <x:c r="K92" s="176"/>
      <x:c r="L92" s="176"/>
      <x:c r="M92" s="176"/>
      <x:c r="N92" s="176"/>
      <x:c r="O92" s="176"/>
      <x:c r="P92" s="176"/>
      <x:c r="Q92" s="176"/>
      <x:c r="R92" s="176"/>
      <x:c r="S92" s="176"/>
      <x:c r="T92" s="176"/>
      <x:c r="U92" s="176"/>
      <x:c r="V92" s="176"/>
      <x:c r="W92" s="176"/>
      <x:c r="X92" s="176"/>
    </x:row>
    <x:row r="93">
      <x:c r="A93" s="176"/>
      <x:c r="B93" s="176"/>
      <x:c r="C93" s="176"/>
      <x:c r="D93" s="176"/>
      <x:c r="E93" s="176"/>
      <x:c r="F93" s="176"/>
      <x:c r="G93" s="176"/>
      <x:c r="H93" s="176"/>
      <x:c r="I93" s="176"/>
      <x:c r="J93" s="176"/>
      <x:c r="K93" s="176"/>
      <x:c r="L93" s="176"/>
      <x:c r="M93" s="176"/>
      <x:c r="N93" s="176"/>
      <x:c r="O93" s="176"/>
      <x:c r="P93" s="176"/>
      <x:c r="Q93" s="176"/>
      <x:c r="R93" s="176"/>
      <x:c r="S93" s="176"/>
      <x:c r="T93" s="176"/>
      <x:c r="U93" s="176"/>
      <x:c r="V93" s="176"/>
      <x:c r="W93" s="176"/>
      <x:c r="X93" s="176"/>
    </x:row>
    <x:row r="94">
      <x:c r="A94" s="176"/>
      <x:c r="B94" s="176"/>
      <x:c r="C94" s="176"/>
      <x:c r="D94" s="176"/>
      <x:c r="E94" s="176"/>
      <x:c r="F94" s="176"/>
      <x:c r="G94" s="176"/>
      <x:c r="H94" s="176"/>
      <x:c r="I94" s="176"/>
      <x:c r="J94" s="176"/>
      <x:c r="K94" s="176"/>
      <x:c r="L94" s="176"/>
      <x:c r="M94" s="176"/>
      <x:c r="N94" s="176"/>
      <x:c r="O94" s="176"/>
      <x:c r="P94" s="176"/>
      <x:c r="Q94" s="176"/>
      <x:c r="R94" s="176"/>
      <x:c r="S94" s="176"/>
      <x:c r="T94" s="176"/>
      <x:c r="U94" s="176"/>
      <x:c r="V94" s="176"/>
      <x:c r="W94" s="176"/>
      <x:c r="X94" s="176"/>
    </x:row>
    <x:row r="95">
      <x:c r="A95" s="176"/>
      <x:c r="B95" s="176"/>
      <x:c r="C95" s="176"/>
      <x:c r="D95" s="176"/>
      <x:c r="E95" s="176"/>
      <x:c r="F95" s="176"/>
      <x:c r="G95" s="176"/>
      <x:c r="H95" s="176"/>
      <x:c r="I95" s="176"/>
      <x:c r="J95" s="176"/>
      <x:c r="K95" s="176"/>
      <x:c r="L95" s="176"/>
      <x:c r="M95" s="176"/>
      <x:c r="N95" s="176"/>
      <x:c r="O95" s="176"/>
      <x:c r="P95" s="176"/>
      <x:c r="Q95" s="176"/>
      <x:c r="R95" s="176"/>
      <x:c r="S95" s="176"/>
      <x:c r="T95" s="176"/>
      <x:c r="U95" s="176"/>
      <x:c r="V95" s="176"/>
      <x:c r="W95" s="176"/>
      <x:c r="X95" s="176"/>
    </x:row>
    <x:row r="96">
      <x:c r="A96" s="176"/>
      <x:c r="B96" s="176"/>
      <x:c r="C96" s="176"/>
      <x:c r="D96" s="176"/>
      <x:c r="E96" s="176"/>
      <x:c r="F96" s="176"/>
      <x:c r="G96" s="176"/>
      <x:c r="H96" s="176"/>
      <x:c r="I96" s="176"/>
      <x:c r="J96" s="176"/>
      <x:c r="K96" s="176"/>
      <x:c r="L96" s="176"/>
      <x:c r="M96" s="176"/>
      <x:c r="N96" s="176"/>
      <x:c r="O96" s="176"/>
      <x:c r="P96" s="176"/>
      <x:c r="Q96" s="176"/>
      <x:c r="R96" s="176"/>
      <x:c r="S96" s="176"/>
      <x:c r="T96" s="176"/>
      <x:c r="U96" s="176"/>
      <x:c r="V96" s="176"/>
      <x:c r="W96" s="176"/>
      <x:c r="X96" s="176"/>
    </x:row>
    <x:row r="97">
      <x:c r="A97" s="176"/>
      <x:c r="B97" s="176"/>
      <x:c r="C97" s="176"/>
      <x:c r="D97" s="176"/>
      <x:c r="E97" s="176"/>
      <x:c r="F97" s="176"/>
      <x:c r="G97" s="176"/>
      <x:c r="H97" s="176"/>
      <x:c r="I97" s="176"/>
      <x:c r="J97" s="176"/>
      <x:c r="K97" s="176"/>
      <x:c r="L97" s="176"/>
      <x:c r="M97" s="176"/>
      <x:c r="N97" s="176"/>
      <x:c r="O97" s="176"/>
      <x:c r="P97" s="176"/>
      <x:c r="Q97" s="176"/>
      <x:c r="R97" s="176"/>
      <x:c r="S97" s="176"/>
      <x:c r="T97" s="176"/>
      <x:c r="U97" s="176"/>
      <x:c r="V97" s="176"/>
      <x:c r="W97" s="176"/>
      <x:c r="X97" s="176"/>
    </x:row>
    <x:row r="98">
      <x:c r="A98" s="176"/>
      <x:c r="B98" s="176"/>
      <x:c r="C98" s="176"/>
      <x:c r="D98" s="176"/>
      <x:c r="E98" s="176"/>
      <x:c r="F98" s="176"/>
      <x:c r="G98" s="176"/>
      <x:c r="H98" s="176"/>
      <x:c r="I98" s="176"/>
      <x:c r="J98" s="176"/>
      <x:c r="K98" s="176"/>
      <x:c r="L98" s="176"/>
      <x:c r="M98" s="176"/>
      <x:c r="N98" s="176"/>
      <x:c r="O98" s="176"/>
      <x:c r="P98" s="176"/>
      <x:c r="Q98" s="176"/>
      <x:c r="R98" s="176"/>
      <x:c r="S98" s="176"/>
      <x:c r="T98" s="176"/>
      <x:c r="U98" s="176"/>
      <x:c r="V98" s="176"/>
      <x:c r="W98" s="176"/>
      <x:c r="X98" s="176"/>
    </x:row>
    <x:row r="99">
      <x:c r="A99" s="176"/>
      <x:c r="B99" s="176"/>
      <x:c r="C99" s="176"/>
      <x:c r="D99" s="176"/>
      <x:c r="E99" s="176"/>
      <x:c r="F99" s="176"/>
      <x:c r="G99" s="176"/>
      <x:c r="H99" s="176"/>
      <x:c r="I99" s="176"/>
      <x:c r="J99" s="176"/>
      <x:c r="K99" s="176"/>
      <x:c r="L99" s="176"/>
      <x:c r="M99" s="176"/>
      <x:c r="N99" s="176"/>
      <x:c r="O99" s="176"/>
      <x:c r="P99" s="176"/>
      <x:c r="Q99" s="176"/>
      <x:c r="R99" s="176"/>
      <x:c r="S99" s="176"/>
      <x:c r="T99" s="176"/>
      <x:c r="U99" s="176"/>
      <x:c r="V99" s="176"/>
      <x:c r="W99" s="176"/>
      <x:c r="X99" s="176"/>
    </x:row>
    <x:row r="100">
      <x:c r="A100" s="176"/>
      <x:c r="B100" s="176"/>
      <x:c r="C100" s="176"/>
      <x:c r="D100" s="176"/>
      <x:c r="E100" s="176"/>
      <x:c r="F100" s="176"/>
      <x:c r="G100" s="176"/>
      <x:c r="H100" s="176"/>
      <x:c r="I100" s="176"/>
      <x:c r="J100" s="176"/>
      <x:c r="K100" s="176"/>
      <x:c r="L100" s="176"/>
      <x:c r="M100" s="176"/>
      <x:c r="N100" s="176"/>
      <x:c r="O100" s="176"/>
      <x:c r="P100" s="176"/>
      <x:c r="Q100" s="176"/>
      <x:c r="R100" s="176"/>
      <x:c r="S100" s="176"/>
      <x:c r="T100" s="176"/>
      <x:c r="U100" s="176"/>
      <x:c r="V100" s="176"/>
      <x:c r="W100" s="176"/>
      <x:c r="X100" s="176"/>
    </x:row>
    <x:row r="101">
      <x:c r="A101" s="176"/>
      <x:c r="B101" s="176"/>
      <x:c r="C101" s="176"/>
      <x:c r="D101" s="176"/>
      <x:c r="E101" s="176"/>
      <x:c r="F101" s="176"/>
      <x:c r="G101" s="176"/>
      <x:c r="H101" s="176"/>
      <x:c r="I101" s="176"/>
      <x:c r="J101" s="176"/>
      <x:c r="K101" s="176"/>
      <x:c r="L101" s="176"/>
      <x:c r="M101" s="176"/>
      <x:c r="N101" s="176"/>
      <x:c r="O101" s="176"/>
      <x:c r="P101" s="176"/>
      <x:c r="Q101" s="176"/>
      <x:c r="R101" s="176"/>
      <x:c r="S101" s="176"/>
      <x:c r="T101" s="176"/>
      <x:c r="U101" s="176"/>
      <x:c r="V101" s="176"/>
      <x:c r="W101" s="176"/>
      <x:c r="X101" s="176"/>
    </x:row>
    <x:row r="102">
      <x:c r="A102" s="176"/>
      <x:c r="B102" s="176"/>
      <x:c r="C102" s="176"/>
      <x:c r="D102" s="176"/>
      <x:c r="E102" s="176"/>
      <x:c r="F102" s="176"/>
      <x:c r="G102" s="176"/>
      <x:c r="H102" s="176"/>
      <x:c r="I102" s="176"/>
      <x:c r="J102" s="176"/>
      <x:c r="K102" s="176"/>
      <x:c r="L102" s="176"/>
      <x:c r="M102" s="176"/>
      <x:c r="N102" s="176"/>
      <x:c r="O102" s="176"/>
      <x:c r="P102" s="176"/>
      <x:c r="Q102" s="176"/>
      <x:c r="R102" s="176"/>
      <x:c r="S102" s="176"/>
      <x:c r="T102" s="176"/>
      <x:c r="U102" s="176"/>
      <x:c r="V102" s="176"/>
      <x:c r="W102" s="176"/>
      <x:c r="X102" s="176"/>
    </x:row>
    <x:row r="103">
      <x:c r="A103" s="176"/>
      <x:c r="B103" s="176"/>
      <x:c r="C103" s="176"/>
      <x:c r="D103" s="176"/>
      <x:c r="E103" s="176"/>
      <x:c r="F103" s="176"/>
      <x:c r="G103" s="176"/>
      <x:c r="H103" s="176"/>
      <x:c r="I103" s="176"/>
      <x:c r="J103" s="176"/>
      <x:c r="K103" s="176"/>
      <x:c r="L103" s="176"/>
      <x:c r="M103" s="176"/>
      <x:c r="N103" s="176"/>
      <x:c r="O103" s="176"/>
      <x:c r="P103" s="176"/>
      <x:c r="Q103" s="176"/>
      <x:c r="R103" s="176"/>
      <x:c r="S103" s="176"/>
      <x:c r="T103" s="176"/>
      <x:c r="U103" s="176"/>
      <x:c r="V103" s="176"/>
      <x:c r="W103" s="176"/>
      <x:c r="X103" s="176"/>
    </x:row>
    <x:row r="104">
      <x:c r="A104" s="176"/>
      <x:c r="B104" s="176"/>
      <x:c r="C104" s="176"/>
      <x:c r="D104" s="176"/>
      <x:c r="E104" s="176"/>
      <x:c r="F104" s="176"/>
      <x:c r="G104" s="176"/>
      <x:c r="H104" s="176"/>
      <x:c r="I104" s="176"/>
      <x:c r="J104" s="176"/>
      <x:c r="K104" s="176"/>
      <x:c r="L104" s="176"/>
      <x:c r="M104" s="176"/>
      <x:c r="N104" s="176"/>
      <x:c r="O104" s="176"/>
      <x:c r="P104" s="176"/>
      <x:c r="Q104" s="176"/>
      <x:c r="R104" s="176"/>
      <x:c r="S104" s="176"/>
      <x:c r="T104" s="176"/>
      <x:c r="U104" s="176"/>
      <x:c r="V104" s="176"/>
      <x:c r="W104" s="176"/>
      <x:c r="X104" s="176"/>
    </x:row>
    <x:row r="105">
      <x:c r="A105" s="176"/>
      <x:c r="B105" s="176"/>
      <x:c r="C105" s="176"/>
      <x:c r="D105" s="176"/>
      <x:c r="E105" s="176"/>
      <x:c r="F105" s="176"/>
      <x:c r="G105" s="176"/>
      <x:c r="H105" s="176"/>
      <x:c r="I105" s="176"/>
      <x:c r="J105" s="176"/>
      <x:c r="K105" s="176"/>
      <x:c r="L105" s="176"/>
      <x:c r="M105" s="176"/>
      <x:c r="N105" s="176"/>
      <x:c r="O105" s="176"/>
      <x:c r="P105" s="176"/>
      <x:c r="Q105" s="176"/>
      <x:c r="R105" s="176"/>
      <x:c r="S105" s="176"/>
      <x:c r="T105" s="176"/>
      <x:c r="U105" s="176"/>
      <x:c r="V105" s="176"/>
      <x:c r="W105" s="176"/>
      <x:c r="X105" s="176"/>
    </x:row>
    <x:row r="106">
      <x:c r="A106" s="176"/>
      <x:c r="B106" s="176"/>
      <x:c r="C106" s="176"/>
      <x:c r="D106" s="176"/>
      <x:c r="E106" s="176"/>
      <x:c r="F106" s="176"/>
      <x:c r="G106" s="176"/>
      <x:c r="H106" s="176"/>
      <x:c r="I106" s="176"/>
      <x:c r="J106" s="176"/>
      <x:c r="K106" s="176"/>
      <x:c r="L106" s="176"/>
      <x:c r="M106" s="176"/>
      <x:c r="N106" s="176"/>
      <x:c r="O106" s="176"/>
      <x:c r="P106" s="176"/>
      <x:c r="Q106" s="176"/>
      <x:c r="R106" s="176"/>
      <x:c r="S106" s="176"/>
      <x:c r="T106" s="176"/>
      <x:c r="U106" s="176"/>
      <x:c r="V106" s="176"/>
      <x:c r="W106" s="176"/>
      <x:c r="X106" s="176"/>
    </x:row>
    <x:row r="107">
      <x:c r="A107" s="176"/>
      <x:c r="B107" s="176"/>
      <x:c r="C107" s="176"/>
      <x:c r="D107" s="176"/>
      <x:c r="E107" s="176"/>
      <x:c r="F107" s="176"/>
      <x:c r="G107" s="176"/>
      <x:c r="H107" s="176"/>
      <x:c r="I107" s="176"/>
      <x:c r="J107" s="176"/>
      <x:c r="K107" s="176"/>
      <x:c r="L107" s="176"/>
      <x:c r="M107" s="176"/>
      <x:c r="N107" s="176"/>
      <x:c r="O107" s="176"/>
      <x:c r="P107" s="176"/>
      <x:c r="Q107" s="176"/>
      <x:c r="R107" s="176"/>
      <x:c r="S107" s="176"/>
      <x:c r="T107" s="176"/>
      <x:c r="U107" s="176"/>
      <x:c r="V107" s="176"/>
      <x:c r="W107" s="176"/>
      <x:c r="X107" s="176"/>
    </x:row>
    <x:row r="108">
      <x:c r="A108" s="176"/>
      <x:c r="B108" s="176"/>
      <x:c r="C108" s="176"/>
      <x:c r="D108" s="176"/>
      <x:c r="E108" s="176"/>
      <x:c r="F108" s="176"/>
      <x:c r="G108" s="176"/>
      <x:c r="H108" s="176"/>
      <x:c r="I108" s="176"/>
      <x:c r="J108" s="176"/>
      <x:c r="K108" s="176"/>
      <x:c r="L108" s="176"/>
      <x:c r="M108" s="176"/>
      <x:c r="N108" s="176"/>
      <x:c r="O108" s="176"/>
      <x:c r="P108" s="176"/>
      <x:c r="Q108" s="176"/>
      <x:c r="R108" s="176"/>
      <x:c r="S108" s="176"/>
      <x:c r="T108" s="176"/>
      <x:c r="U108" s="176"/>
      <x:c r="V108" s="176"/>
      <x:c r="W108" s="176"/>
      <x:c r="X108" s="176"/>
    </x:row>
    <x:row r="109">
      <x:c r="A109" s="176"/>
      <x:c r="B109" s="176"/>
      <x:c r="C109" s="176"/>
      <x:c r="D109" s="176"/>
      <x:c r="E109" s="176"/>
      <x:c r="F109" s="176"/>
      <x:c r="G109" s="176"/>
      <x:c r="H109" s="176"/>
      <x:c r="I109" s="176"/>
      <x:c r="J109" s="176"/>
      <x:c r="K109" s="176"/>
      <x:c r="L109" s="176"/>
      <x:c r="M109" s="176"/>
      <x:c r="N109" s="176"/>
      <x:c r="O109" s="176"/>
      <x:c r="P109" s="176"/>
      <x:c r="Q109" s="176"/>
      <x:c r="R109" s="176"/>
      <x:c r="S109" s="176"/>
      <x:c r="T109" s="176"/>
      <x:c r="U109" s="176"/>
      <x:c r="V109" s="176"/>
      <x:c r="W109" s="176"/>
      <x:c r="X109" s="176"/>
    </x:row>
    <x:row r="110">
      <x:c r="A110" s="176"/>
      <x:c r="B110" s="176"/>
      <x:c r="C110" s="176"/>
      <x:c r="D110" s="176"/>
      <x:c r="E110" s="176"/>
      <x:c r="F110" s="176"/>
      <x:c r="G110" s="176"/>
      <x:c r="H110" s="176"/>
      <x:c r="I110" s="176"/>
      <x:c r="J110" s="176"/>
      <x:c r="K110" s="176"/>
      <x:c r="L110" s="176"/>
      <x:c r="M110" s="176"/>
      <x:c r="N110" s="176"/>
      <x:c r="O110" s="176"/>
      <x:c r="P110" s="176"/>
      <x:c r="Q110" s="176"/>
      <x:c r="R110" s="176"/>
      <x:c r="S110" s="176"/>
      <x:c r="T110" s="176"/>
      <x:c r="U110" s="176"/>
      <x:c r="V110" s="176"/>
      <x:c r="W110" s="176"/>
      <x:c r="X110" s="176"/>
    </x:row>
    <x:row r="111">
      <x:c r="A111" s="176"/>
      <x:c r="B111" s="176"/>
      <x:c r="C111" s="176"/>
      <x:c r="D111" s="176"/>
      <x:c r="E111" s="176"/>
      <x:c r="F111" s="176"/>
      <x:c r="G111" s="176"/>
      <x:c r="H111" s="176"/>
      <x:c r="I111" s="176"/>
      <x:c r="J111" s="176"/>
      <x:c r="K111" s="176"/>
      <x:c r="L111" s="176"/>
      <x:c r="M111" s="176"/>
      <x:c r="N111" s="176"/>
      <x:c r="O111" s="176"/>
      <x:c r="P111" s="176"/>
      <x:c r="Q111" s="176"/>
      <x:c r="R111" s="176"/>
      <x:c r="S111" s="176"/>
      <x:c r="T111" s="176"/>
      <x:c r="U111" s="176"/>
      <x:c r="V111" s="176"/>
      <x:c r="W111" s="176"/>
      <x:c r="X111" s="176"/>
    </x:row>
    <x:row r="112">
      <x:c r="A112" s="176"/>
      <x:c r="B112" s="176"/>
      <x:c r="C112" s="176"/>
      <x:c r="D112" s="176"/>
      <x:c r="E112" s="176"/>
      <x:c r="F112" s="176"/>
      <x:c r="G112" s="176"/>
      <x:c r="H112" s="176"/>
      <x:c r="I112" s="176"/>
      <x:c r="J112" s="176"/>
      <x:c r="K112" s="176"/>
      <x:c r="L112" s="176"/>
      <x:c r="M112" s="176"/>
      <x:c r="N112" s="176"/>
      <x:c r="O112" s="176"/>
      <x:c r="P112" s="176"/>
      <x:c r="Q112" s="176"/>
      <x:c r="R112" s="176"/>
      <x:c r="S112" s="176"/>
      <x:c r="T112" s="176"/>
      <x:c r="U112" s="176"/>
      <x:c r="V112" s="176"/>
      <x:c r="W112" s="176"/>
      <x:c r="X112" s="176"/>
    </x:row>
    <x:row r="113">
      <x:c r="A113" s="176"/>
      <x:c r="B113" s="176"/>
      <x:c r="C113" s="176"/>
      <x:c r="D113" s="176"/>
      <x:c r="E113" s="176"/>
      <x:c r="F113" s="176"/>
      <x:c r="G113" s="176"/>
      <x:c r="H113" s="176"/>
      <x:c r="I113" s="176"/>
      <x:c r="J113" s="176"/>
      <x:c r="K113" s="176"/>
      <x:c r="L113" s="176"/>
      <x:c r="M113" s="176"/>
      <x:c r="N113" s="176"/>
      <x:c r="O113" s="176"/>
      <x:c r="P113" s="176"/>
      <x:c r="Q113" s="176"/>
      <x:c r="R113" s="176"/>
      <x:c r="S113" s="176"/>
      <x:c r="T113" s="176"/>
      <x:c r="U113" s="176"/>
      <x:c r="V113" s="176"/>
      <x:c r="W113" s="176"/>
      <x:c r="X113" s="176"/>
    </x:row>
    <x:row r="114">
      <x:c r="A114" s="176"/>
      <x:c r="B114" s="176"/>
      <x:c r="C114" s="176"/>
      <x:c r="D114" s="176"/>
      <x:c r="E114" s="176"/>
      <x:c r="F114" s="176"/>
      <x:c r="G114" s="176"/>
      <x:c r="H114" s="176"/>
      <x:c r="I114" s="176"/>
      <x:c r="J114" s="176"/>
      <x:c r="K114" s="176"/>
      <x:c r="L114" s="176"/>
      <x:c r="M114" s="176"/>
      <x:c r="N114" s="176"/>
      <x:c r="O114" s="176"/>
      <x:c r="P114" s="176"/>
      <x:c r="Q114" s="176"/>
      <x:c r="R114" s="176"/>
      <x:c r="S114" s="176"/>
      <x:c r="T114" s="176"/>
      <x:c r="U114" s="176"/>
      <x:c r="V114" s="176"/>
      <x:c r="W114" s="176"/>
      <x:c r="X114" s="176"/>
    </x:row>
    <x:row r="115">
      <x:c r="A115" s="176"/>
      <x:c r="B115" s="176"/>
      <x:c r="C115" s="176"/>
      <x:c r="D115" s="176"/>
      <x:c r="E115" s="176"/>
      <x:c r="F115" s="176"/>
      <x:c r="G115" s="176"/>
      <x:c r="H115" s="176"/>
      <x:c r="I115" s="176"/>
      <x:c r="J115" s="176"/>
      <x:c r="K115" s="176"/>
      <x:c r="L115" s="176"/>
      <x:c r="M115" s="176"/>
      <x:c r="N115" s="176"/>
      <x:c r="O115" s="176"/>
      <x:c r="P115" s="176"/>
      <x:c r="Q115" s="176"/>
      <x:c r="R115" s="176"/>
      <x:c r="S115" s="176"/>
      <x:c r="T115" s="176"/>
      <x:c r="U115" s="176"/>
      <x:c r="V115" s="176"/>
      <x:c r="W115" s="176"/>
      <x:c r="X115" s="176"/>
    </x:row>
    <x:row r="116">
      <x:c r="A116" s="176"/>
      <x:c r="B116" s="176"/>
      <x:c r="C116" s="176"/>
      <x:c r="D116" s="176"/>
      <x:c r="E116" s="176"/>
      <x:c r="F116" s="176"/>
      <x:c r="G116" s="176"/>
      <x:c r="H116" s="176"/>
      <x:c r="I116" s="176"/>
      <x:c r="J116" s="176"/>
      <x:c r="K116" s="176"/>
      <x:c r="L116" s="176"/>
      <x:c r="M116" s="176"/>
      <x:c r="N116" s="176"/>
      <x:c r="O116" s="176"/>
      <x:c r="P116" s="176"/>
      <x:c r="Q116" s="176"/>
      <x:c r="R116" s="176"/>
      <x:c r="S116" s="176"/>
      <x:c r="T116" s="176"/>
      <x:c r="U116" s="176"/>
      <x:c r="V116" s="176"/>
      <x:c r="W116" s="176"/>
      <x:c r="X116" s="176"/>
    </x:row>
    <x:row r="117">
      <x:c r="A117" s="176"/>
      <x:c r="B117" s="176"/>
      <x:c r="C117" s="176"/>
      <x:c r="D117" s="176"/>
      <x:c r="E117" s="176"/>
      <x:c r="F117" s="176"/>
      <x:c r="G117" s="176"/>
      <x:c r="H117" s="176"/>
      <x:c r="I117" s="176"/>
      <x:c r="J117" s="176"/>
      <x:c r="K117" s="176"/>
      <x:c r="L117" s="176"/>
      <x:c r="M117" s="176"/>
      <x:c r="N117" s="176"/>
      <x:c r="O117" s="176"/>
      <x:c r="P117" s="176"/>
      <x:c r="Q117" s="176"/>
      <x:c r="R117" s="176"/>
      <x:c r="S117" s="176"/>
      <x:c r="T117" s="176"/>
      <x:c r="U117" s="176"/>
      <x:c r="V117" s="176"/>
      <x:c r="W117" s="176"/>
      <x:c r="X117" s="176"/>
    </x:row>
    <x:row r="118">
      <x:c r="A118" s="176"/>
      <x:c r="B118" s="176"/>
      <x:c r="C118" s="176"/>
      <x:c r="D118" s="176"/>
      <x:c r="E118" s="176"/>
      <x:c r="F118" s="176"/>
      <x:c r="G118" s="176"/>
      <x:c r="H118" s="176"/>
      <x:c r="I118" s="176"/>
      <x:c r="J118" s="176"/>
      <x:c r="K118" s="176"/>
      <x:c r="L118" s="176"/>
      <x:c r="M118" s="176"/>
      <x:c r="N118" s="176"/>
      <x:c r="O118" s="176"/>
      <x:c r="P118" s="176"/>
      <x:c r="Q118" s="176"/>
      <x:c r="R118" s="176"/>
      <x:c r="S118" s="176"/>
      <x:c r="T118" s="176"/>
      <x:c r="U118" s="176"/>
      <x:c r="V118" s="176"/>
      <x:c r="W118" s="176"/>
      <x:c r="X118" s="176"/>
    </x:row>
    <x:row r="119">
      <x:c r="A119" s="176"/>
      <x:c r="B119" s="176"/>
      <x:c r="C119" s="176"/>
      <x:c r="D119" s="176"/>
      <x:c r="E119" s="176"/>
      <x:c r="F119" s="176"/>
      <x:c r="G119" s="176"/>
      <x:c r="H119" s="176"/>
      <x:c r="I119" s="176"/>
      <x:c r="J119" s="176"/>
      <x:c r="K119" s="176"/>
      <x:c r="L119" s="176"/>
      <x:c r="M119" s="176"/>
      <x:c r="N119" s="176"/>
      <x:c r="O119" s="176"/>
      <x:c r="P119" s="176"/>
      <x:c r="Q119" s="176"/>
      <x:c r="R119" s="176"/>
      <x:c r="S119" s="176"/>
      <x:c r="T119" s="176"/>
      <x:c r="U119" s="176"/>
      <x:c r="V119" s="176"/>
      <x:c r="W119" s="176"/>
      <x:c r="X119" s="176"/>
    </x:row>
    <x:row r="120">
      <x:c r="A120" s="176"/>
      <x:c r="B120" s="176"/>
      <x:c r="C120" s="176"/>
      <x:c r="D120" s="176"/>
      <x:c r="E120" s="176"/>
      <x:c r="F120" s="176"/>
      <x:c r="G120" s="176"/>
      <x:c r="H120" s="176"/>
      <x:c r="I120" s="176"/>
      <x:c r="J120" s="176"/>
      <x:c r="K120" s="176"/>
      <x:c r="L120" s="176"/>
      <x:c r="M120" s="176"/>
      <x:c r="N120" s="176"/>
      <x:c r="O120" s="176"/>
      <x:c r="P120" s="176"/>
      <x:c r="Q120" s="176"/>
      <x:c r="R120" s="176"/>
      <x:c r="S120" s="176"/>
      <x:c r="T120" s="176"/>
      <x:c r="U120" s="176"/>
      <x:c r="V120" s="176"/>
      <x:c r="W120" s="176"/>
      <x:c r="X120" s="176"/>
    </x:row>
    <x:row r="121">
      <x:c r="A121" s="176"/>
      <x:c r="B121" s="176"/>
      <x:c r="C121" s="176"/>
      <x:c r="D121" s="176"/>
      <x:c r="E121" s="176"/>
      <x:c r="F121" s="176"/>
      <x:c r="G121" s="176"/>
      <x:c r="H121" s="176"/>
      <x:c r="I121" s="176"/>
      <x:c r="J121" s="176"/>
      <x:c r="K121" s="176"/>
      <x:c r="L121" s="176"/>
      <x:c r="M121" s="176"/>
      <x:c r="N121" s="176"/>
      <x:c r="O121" s="176"/>
      <x:c r="P121" s="176"/>
      <x:c r="Q121" s="176"/>
      <x:c r="R121" s="176"/>
      <x:c r="S121" s="176"/>
      <x:c r="T121" s="176"/>
      <x:c r="U121" s="176"/>
      <x:c r="V121" s="176"/>
      <x:c r="W121" s="176"/>
      <x:c r="X121" s="176"/>
    </x:row>
    <x:row r="122">
      <x:c r="A122" s="176"/>
      <x:c r="B122" s="176"/>
      <x:c r="C122" s="176"/>
      <x:c r="D122" s="176"/>
      <x:c r="E122" s="176"/>
      <x:c r="F122" s="176"/>
      <x:c r="G122" s="176"/>
      <x:c r="H122" s="176"/>
      <x:c r="I122" s="176"/>
      <x:c r="J122" s="176"/>
      <x:c r="K122" s="176"/>
      <x:c r="L122" s="176"/>
      <x:c r="M122" s="176"/>
      <x:c r="N122" s="176"/>
      <x:c r="O122" s="176"/>
      <x:c r="P122" s="176"/>
      <x:c r="Q122" s="176"/>
      <x:c r="R122" s="176"/>
      <x:c r="S122" s="176"/>
      <x:c r="T122" s="176"/>
      <x:c r="U122" s="176"/>
      <x:c r="V122" s="176"/>
      <x:c r="W122" s="176"/>
      <x:c r="X122" s="176"/>
    </x:row>
    <x:row r="123">
      <x:c r="A123" s="176"/>
      <x:c r="B123" s="176"/>
      <x:c r="C123" s="176"/>
      <x:c r="D123" s="176"/>
      <x:c r="E123" s="176"/>
      <x:c r="F123" s="176"/>
      <x:c r="G123" s="176"/>
      <x:c r="H123" s="176"/>
      <x:c r="I123" s="176"/>
      <x:c r="J123" s="176"/>
      <x:c r="K123" s="176"/>
      <x:c r="L123" s="176"/>
      <x:c r="M123" s="176"/>
      <x:c r="N123" s="176"/>
      <x:c r="O123" s="176"/>
      <x:c r="P123" s="176"/>
      <x:c r="Q123" s="176"/>
      <x:c r="R123" s="176"/>
      <x:c r="S123" s="176"/>
      <x:c r="T123" s="176"/>
      <x:c r="U123" s="176"/>
      <x:c r="V123" s="176"/>
      <x:c r="W123" s="176"/>
      <x:c r="X123" s="176"/>
    </x:row>
    <x:row r="124">
      <x:c r="A124" s="176"/>
      <x:c r="B124" s="176"/>
      <x:c r="C124" s="176"/>
      <x:c r="D124" s="176"/>
      <x:c r="E124" s="176"/>
      <x:c r="F124" s="176"/>
      <x:c r="G124" s="176"/>
      <x:c r="H124" s="176"/>
      <x:c r="I124" s="176"/>
      <x:c r="J124" s="176"/>
      <x:c r="K124" s="176"/>
      <x:c r="L124" s="176"/>
      <x:c r="M124" s="176"/>
      <x:c r="N124" s="176"/>
      <x:c r="O124" s="176"/>
      <x:c r="P124" s="176"/>
      <x:c r="Q124" s="176"/>
      <x:c r="R124" s="176"/>
      <x:c r="S124" s="176"/>
      <x:c r="T124" s="176"/>
      <x:c r="U124" s="176"/>
      <x:c r="V124" s="176"/>
      <x:c r="W124" s="176"/>
      <x:c r="X124" s="176"/>
    </x:row>
    <x:row r="125">
      <x:c r="A125" s="176"/>
      <x:c r="B125" s="176"/>
      <x:c r="C125" s="176"/>
      <x:c r="D125" s="176"/>
      <x:c r="E125" s="176"/>
      <x:c r="F125" s="176"/>
      <x:c r="G125" s="176"/>
      <x:c r="H125" s="176"/>
      <x:c r="I125" s="176"/>
      <x:c r="J125" s="176"/>
      <x:c r="K125" s="176"/>
      <x:c r="L125" s="176"/>
      <x:c r="M125" s="176"/>
      <x:c r="N125" s="176"/>
      <x:c r="O125" s="176"/>
      <x:c r="P125" s="176"/>
      <x:c r="Q125" s="176"/>
      <x:c r="R125" s="176"/>
      <x:c r="S125" s="176"/>
      <x:c r="T125" s="176"/>
      <x:c r="U125" s="176"/>
      <x:c r="V125" s="176"/>
      <x:c r="W125" s="176"/>
      <x:c r="X125" s="176"/>
    </x:row>
    <x:row r="126">
      <x:c r="A126" s="176"/>
      <x:c r="B126" s="176"/>
      <x:c r="C126" s="176"/>
      <x:c r="D126" s="176"/>
      <x:c r="E126" s="176"/>
      <x:c r="F126" s="176"/>
      <x:c r="G126" s="176"/>
      <x:c r="H126" s="176"/>
      <x:c r="I126" s="176"/>
      <x:c r="J126" s="176"/>
      <x:c r="K126" s="176"/>
      <x:c r="L126" s="176"/>
      <x:c r="M126" s="176"/>
      <x:c r="N126" s="176"/>
      <x:c r="O126" s="176"/>
      <x:c r="P126" s="176"/>
      <x:c r="Q126" s="176"/>
      <x:c r="R126" s="176"/>
      <x:c r="S126" s="176"/>
      <x:c r="T126" s="176"/>
      <x:c r="U126" s="176"/>
      <x:c r="V126" s="176"/>
      <x:c r="W126" s="176"/>
      <x:c r="X126" s="176"/>
    </x:row>
    <x:row r="127">
      <x:c r="A127" s="176"/>
      <x:c r="B127" s="176"/>
      <x:c r="C127" s="176"/>
      <x:c r="D127" s="176"/>
      <x:c r="E127" s="176"/>
      <x:c r="F127" s="176"/>
      <x:c r="G127" s="176"/>
      <x:c r="H127" s="176"/>
      <x:c r="I127" s="176"/>
      <x:c r="J127" s="176"/>
      <x:c r="K127" s="176"/>
      <x:c r="L127" s="176"/>
      <x:c r="M127" s="176"/>
      <x:c r="N127" s="176"/>
      <x:c r="O127" s="176"/>
      <x:c r="P127" s="176"/>
      <x:c r="Q127" s="176"/>
      <x:c r="R127" s="176"/>
      <x:c r="S127" s="176"/>
      <x:c r="T127" s="176"/>
      <x:c r="U127" s="176"/>
      <x:c r="V127" s="176"/>
      <x:c r="W127" s="176"/>
      <x:c r="X127" s="176"/>
    </x:row>
    <x:row r="128">
      <x:c r="A128" s="176"/>
      <x:c r="B128" s="176"/>
      <x:c r="C128" s="176"/>
      <x:c r="D128" s="176"/>
      <x:c r="E128" s="176"/>
      <x:c r="F128" s="176"/>
      <x:c r="G128" s="176"/>
      <x:c r="H128" s="176"/>
      <x:c r="I128" s="176"/>
      <x:c r="J128" s="176"/>
      <x:c r="K128" s="176"/>
      <x:c r="L128" s="176"/>
      <x:c r="M128" s="176"/>
      <x:c r="N128" s="176"/>
      <x:c r="O128" s="176"/>
      <x:c r="P128" s="176"/>
      <x:c r="Q128" s="176"/>
      <x:c r="R128" s="176"/>
      <x:c r="S128" s="176"/>
      <x:c r="T128" s="176"/>
      <x:c r="U128" s="176"/>
      <x:c r="V128" s="176"/>
      <x:c r="W128" s="176"/>
      <x:c r="X128" s="176"/>
    </x:row>
    <x:row r="129">
      <x:c r="A129" s="176"/>
      <x:c r="B129" s="176"/>
      <x:c r="C129" s="176"/>
      <x:c r="D129" s="176"/>
      <x:c r="E129" s="176"/>
      <x:c r="F129" s="176"/>
      <x:c r="G129" s="176"/>
      <x:c r="H129" s="176"/>
      <x:c r="I129" s="176"/>
      <x:c r="J129" s="176"/>
      <x:c r="K129" s="176"/>
      <x:c r="L129" s="176"/>
      <x:c r="M129" s="176"/>
      <x:c r="N129" s="176"/>
      <x:c r="O129" s="176"/>
      <x:c r="P129" s="176"/>
      <x:c r="Q129" s="176"/>
      <x:c r="R129" s="176"/>
      <x:c r="S129" s="176"/>
      <x:c r="T129" s="176"/>
      <x:c r="U129" s="176"/>
      <x:c r="V129" s="176"/>
      <x:c r="W129" s="176"/>
      <x:c r="X129" s="176"/>
    </x:row>
    <x:row r="130">
      <x:c r="A130" s="176"/>
      <x:c r="B130" s="176"/>
      <x:c r="C130" s="176"/>
      <x:c r="D130" s="176"/>
      <x:c r="E130" s="176"/>
      <x:c r="F130" s="176"/>
      <x:c r="G130" s="176"/>
      <x:c r="H130" s="176"/>
      <x:c r="I130" s="176"/>
      <x:c r="J130" s="176"/>
      <x:c r="K130" s="176"/>
      <x:c r="L130" s="176"/>
      <x:c r="M130" s="176"/>
      <x:c r="N130" s="176"/>
      <x:c r="O130" s="176"/>
      <x:c r="P130" s="176"/>
      <x:c r="Q130" s="176"/>
      <x:c r="R130" s="176"/>
      <x:c r="S130" s="176"/>
      <x:c r="T130" s="176"/>
      <x:c r="U130" s="176"/>
      <x:c r="V130" s="176"/>
      <x:c r="W130" s="176"/>
      <x:c r="X130" s="176"/>
    </x:row>
    <x:row r="131">
      <x:c r="A131" s="176"/>
      <x:c r="B131" s="176"/>
      <x:c r="C131" s="176"/>
      <x:c r="D131" s="176"/>
      <x:c r="E131" s="176"/>
      <x:c r="F131" s="176"/>
      <x:c r="G131" s="176"/>
      <x:c r="H131" s="176"/>
      <x:c r="I131" s="176"/>
      <x:c r="J131" s="176"/>
      <x:c r="K131" s="176"/>
      <x:c r="L131" s="176"/>
      <x:c r="M131" s="176"/>
      <x:c r="N131" s="176"/>
      <x:c r="O131" s="176"/>
      <x:c r="P131" s="176"/>
      <x:c r="Q131" s="176"/>
      <x:c r="R131" s="176"/>
      <x:c r="S131" s="176"/>
      <x:c r="T131" s="176"/>
      <x:c r="U131" s="176"/>
      <x:c r="V131" s="176"/>
      <x:c r="W131" s="176"/>
      <x:c r="X131" s="176"/>
    </x:row>
    <x:row r="132">
      <x:c r="A132" s="176"/>
      <x:c r="B132" s="176"/>
      <x:c r="C132" s="176"/>
      <x:c r="D132" s="176"/>
      <x:c r="E132" s="176"/>
      <x:c r="F132" s="176"/>
      <x:c r="G132" s="176"/>
      <x:c r="H132" s="176"/>
      <x:c r="I132" s="176"/>
      <x:c r="J132" s="176"/>
      <x:c r="K132" s="176"/>
      <x:c r="L132" s="176"/>
      <x:c r="M132" s="176"/>
      <x:c r="N132" s="176"/>
      <x:c r="O132" s="176"/>
      <x:c r="P132" s="176"/>
      <x:c r="Q132" s="176"/>
      <x:c r="R132" s="176"/>
      <x:c r="S132" s="176"/>
      <x:c r="T132" s="176"/>
      <x:c r="U132" s="176"/>
      <x:c r="V132" s="176"/>
      <x:c r="W132" s="176"/>
      <x:c r="X132" s="176"/>
    </x:row>
    <x:row r="133">
      <x:c r="A133" s="176"/>
      <x:c r="B133" s="176"/>
      <x:c r="C133" s="176"/>
      <x:c r="D133" s="176"/>
      <x:c r="E133" s="176"/>
      <x:c r="F133" s="176"/>
      <x:c r="G133" s="176"/>
      <x:c r="H133" s="176"/>
      <x:c r="I133" s="176"/>
      <x:c r="J133" s="176"/>
      <x:c r="K133" s="176"/>
      <x:c r="L133" s="176"/>
      <x:c r="M133" s="176"/>
      <x:c r="N133" s="176"/>
      <x:c r="O133" s="176"/>
      <x:c r="P133" s="176"/>
      <x:c r="Q133" s="176"/>
      <x:c r="R133" s="176"/>
      <x:c r="S133" s="176"/>
      <x:c r="T133" s="176"/>
      <x:c r="U133" s="176"/>
      <x:c r="V133" s="176"/>
      <x:c r="W133" s="176"/>
      <x:c r="X133" s="176"/>
    </x:row>
    <x:row r="134">
      <x:c r="A134" s="176"/>
      <x:c r="B134" s="176"/>
      <x:c r="C134" s="176"/>
      <x:c r="D134" s="176"/>
      <x:c r="E134" s="176"/>
      <x:c r="F134" s="176"/>
      <x:c r="G134" s="176"/>
      <x:c r="H134" s="176"/>
      <x:c r="I134" s="176"/>
      <x:c r="J134" s="176"/>
      <x:c r="K134" s="176"/>
      <x:c r="L134" s="176"/>
      <x:c r="M134" s="176"/>
      <x:c r="N134" s="176"/>
      <x:c r="O134" s="176"/>
      <x:c r="P134" s="176"/>
      <x:c r="Q134" s="176"/>
      <x:c r="R134" s="176"/>
      <x:c r="S134" s="176"/>
      <x:c r="T134" s="176"/>
      <x:c r="U134" s="176"/>
      <x:c r="V134" s="176"/>
      <x:c r="W134" s="176"/>
      <x:c r="X134" s="176"/>
    </x:row>
    <x:row r="135">
      <x:c r="A135" s="176"/>
      <x:c r="B135" s="176"/>
      <x:c r="C135" s="176"/>
      <x:c r="D135" s="176"/>
      <x:c r="E135" s="176"/>
      <x:c r="F135" s="176"/>
      <x:c r="G135" s="176"/>
      <x:c r="H135" s="176"/>
      <x:c r="I135" s="176"/>
      <x:c r="J135" s="176"/>
      <x:c r="K135" s="176"/>
      <x:c r="L135" s="176"/>
      <x:c r="M135" s="176"/>
      <x:c r="N135" s="176"/>
      <x:c r="O135" s="176"/>
      <x:c r="P135" s="176"/>
      <x:c r="Q135" s="176"/>
      <x:c r="R135" s="176"/>
      <x:c r="S135" s="176"/>
      <x:c r="T135" s="176"/>
      <x:c r="U135" s="176"/>
      <x:c r="V135" s="176"/>
      <x:c r="W135" s="176"/>
      <x:c r="X135" s="176"/>
    </x:row>
    <x:row r="136">
      <x:c r="A136" s="176"/>
      <x:c r="B136" s="176"/>
      <x:c r="C136" s="176"/>
      <x:c r="D136" s="176"/>
      <x:c r="E136" s="176"/>
      <x:c r="F136" s="176"/>
      <x:c r="G136" s="176"/>
      <x:c r="H136" s="176"/>
      <x:c r="I136" s="176"/>
      <x:c r="J136" s="176"/>
      <x:c r="K136" s="176"/>
      <x:c r="L136" s="176"/>
      <x:c r="M136" s="176"/>
      <x:c r="N136" s="176"/>
      <x:c r="O136" s="176"/>
      <x:c r="P136" s="176"/>
      <x:c r="Q136" s="176"/>
      <x:c r="R136" s="176"/>
      <x:c r="S136" s="176"/>
      <x:c r="T136" s="176"/>
      <x:c r="U136" s="176"/>
      <x:c r="V136" s="176"/>
      <x:c r="W136" s="176"/>
      <x:c r="X136" s="176"/>
    </x:row>
    <x:row r="137">
      <x:c r="A137" s="176"/>
      <x:c r="B137" s="176"/>
      <x:c r="C137" s="176"/>
      <x:c r="D137" s="176"/>
      <x:c r="E137" s="176"/>
      <x:c r="F137" s="176"/>
      <x:c r="G137" s="176"/>
      <x:c r="H137" s="176"/>
      <x:c r="I137" s="176"/>
      <x:c r="J137" s="176"/>
      <x:c r="K137" s="176"/>
      <x:c r="L137" s="176"/>
      <x:c r="M137" s="176"/>
      <x:c r="N137" s="176"/>
      <x:c r="O137" s="176"/>
      <x:c r="P137" s="176"/>
      <x:c r="Q137" s="176"/>
      <x:c r="R137" s="176"/>
      <x:c r="S137" s="176"/>
      <x:c r="T137" s="176"/>
      <x:c r="U137" s="176"/>
      <x:c r="V137" s="176"/>
      <x:c r="W137" s="176"/>
      <x:c r="X137" s="176"/>
    </x:row>
    <x:row r="138">
      <x:c r="A138" s="176"/>
      <x:c r="B138" s="176"/>
      <x:c r="C138" s="176"/>
      <x:c r="D138" s="176"/>
      <x:c r="E138" s="176"/>
      <x:c r="F138" s="176"/>
      <x:c r="G138" s="176"/>
      <x:c r="H138" s="176"/>
      <x:c r="I138" s="176"/>
      <x:c r="J138" s="176"/>
      <x:c r="K138" s="176"/>
      <x:c r="L138" s="176"/>
      <x:c r="M138" s="176"/>
      <x:c r="N138" s="176"/>
      <x:c r="O138" s="176"/>
      <x:c r="P138" s="176"/>
      <x:c r="Q138" s="176"/>
      <x:c r="R138" s="176"/>
      <x:c r="S138" s="176"/>
      <x:c r="T138" s="176"/>
      <x:c r="U138" s="176"/>
      <x:c r="V138" s="176"/>
      <x:c r="W138" s="176"/>
      <x:c r="X138" s="176"/>
    </x:row>
    <x:row r="139">
      <x:c r="A139" s="176"/>
      <x:c r="B139" s="176"/>
      <x:c r="C139" s="176"/>
      <x:c r="D139" s="176"/>
      <x:c r="E139" s="176"/>
      <x:c r="F139" s="176"/>
      <x:c r="G139" s="176"/>
      <x:c r="H139" s="176"/>
      <x:c r="I139" s="176"/>
      <x:c r="J139" s="176"/>
      <x:c r="K139" s="176"/>
      <x:c r="L139" s="176"/>
      <x:c r="M139" s="176"/>
      <x:c r="N139" s="176"/>
      <x:c r="O139" s="176"/>
      <x:c r="P139" s="176"/>
      <x:c r="Q139" s="176"/>
      <x:c r="R139" s="176"/>
      <x:c r="S139" s="176"/>
      <x:c r="T139" s="176"/>
      <x:c r="U139" s="176"/>
      <x:c r="V139" s="176"/>
      <x:c r="W139" s="176"/>
      <x:c r="X139" s="176"/>
    </x:row>
    <x:row r="140">
      <x:c r="A140" s="176"/>
      <x:c r="B140" s="176"/>
      <x:c r="C140" s="176"/>
      <x:c r="D140" s="176"/>
      <x:c r="E140" s="176"/>
      <x:c r="F140" s="176"/>
      <x:c r="G140" s="176"/>
      <x:c r="H140" s="176"/>
      <x:c r="I140" s="176"/>
      <x:c r="J140" s="176"/>
      <x:c r="K140" s="176"/>
      <x:c r="L140" s="176"/>
      <x:c r="M140" s="176"/>
      <x:c r="N140" s="176"/>
      <x:c r="O140" s="176"/>
      <x:c r="P140" s="176"/>
      <x:c r="Q140" s="176"/>
      <x:c r="R140" s="176"/>
      <x:c r="S140" s="176"/>
      <x:c r="T140" s="176"/>
      <x:c r="U140" s="176"/>
      <x:c r="V140" s="176"/>
      <x:c r="W140" s="176"/>
      <x:c r="X140" s="176"/>
    </x:row>
    <x:row r="141">
      <x:c r="A141" s="176"/>
      <x:c r="B141" s="176"/>
      <x:c r="C141" s="176"/>
      <x:c r="D141" s="176"/>
      <x:c r="E141" s="176"/>
      <x:c r="F141" s="176"/>
      <x:c r="G141" s="176"/>
      <x:c r="H141" s="176"/>
      <x:c r="I141" s="176"/>
      <x:c r="J141" s="176"/>
      <x:c r="K141" s="176"/>
      <x:c r="L141" s="176"/>
      <x:c r="M141" s="176"/>
      <x:c r="N141" s="176"/>
      <x:c r="O141" s="176"/>
      <x:c r="P141" s="176"/>
      <x:c r="Q141" s="176"/>
      <x:c r="R141" s="176"/>
      <x:c r="S141" s="176"/>
      <x:c r="T141" s="176"/>
      <x:c r="U141" s="176"/>
      <x:c r="V141" s="176"/>
      <x:c r="W141" s="176"/>
      <x:c r="X141" s="176"/>
    </x:row>
    <x:row r="142">
      <x:c r="A142" s="176"/>
      <x:c r="B142" s="176"/>
      <x:c r="C142" s="176"/>
      <x:c r="D142" s="176"/>
      <x:c r="E142" s="176"/>
      <x:c r="F142" s="176"/>
      <x:c r="G142" s="176"/>
      <x:c r="H142" s="176"/>
      <x:c r="I142" s="176"/>
      <x:c r="J142" s="176"/>
      <x:c r="K142" s="176"/>
      <x:c r="L142" s="176"/>
      <x:c r="M142" s="176"/>
      <x:c r="N142" s="176"/>
      <x:c r="O142" s="176"/>
      <x:c r="P142" s="176"/>
      <x:c r="Q142" s="176"/>
      <x:c r="R142" s="176"/>
      <x:c r="S142" s="176"/>
      <x:c r="T142" s="176"/>
      <x:c r="U142" s="176"/>
      <x:c r="V142" s="176"/>
      <x:c r="W142" s="176"/>
      <x:c r="X142" s="176"/>
    </x:row>
    <x:row r="143">
      <x:c r="A143" s="176"/>
      <x:c r="B143" s="176"/>
      <x:c r="C143" s="176"/>
      <x:c r="D143" s="176"/>
      <x:c r="E143" s="176"/>
      <x:c r="F143" s="176"/>
      <x:c r="G143" s="176"/>
      <x:c r="H143" s="176"/>
      <x:c r="I143" s="176"/>
      <x:c r="J143" s="176"/>
      <x:c r="K143" s="176"/>
      <x:c r="L143" s="176"/>
      <x:c r="M143" s="176"/>
      <x:c r="N143" s="176"/>
      <x:c r="O143" s="176"/>
      <x:c r="P143" s="176"/>
      <x:c r="Q143" s="176"/>
      <x:c r="R143" s="176"/>
      <x:c r="S143" s="176"/>
      <x:c r="T143" s="176"/>
      <x:c r="U143" s="176"/>
      <x:c r="V143" s="176"/>
      <x:c r="W143" s="176"/>
      <x:c r="X143" s="176"/>
    </x:row>
    <x:row r="144">
      <x:c r="A144" s="176"/>
      <x:c r="B144" s="176"/>
      <x:c r="C144" s="176"/>
      <x:c r="D144" s="176"/>
      <x:c r="E144" s="176"/>
      <x:c r="F144" s="176"/>
      <x:c r="G144" s="176"/>
      <x:c r="H144" s="176"/>
      <x:c r="I144" s="176"/>
      <x:c r="J144" s="176"/>
      <x:c r="K144" s="176"/>
      <x:c r="L144" s="176"/>
      <x:c r="M144" s="176"/>
      <x:c r="N144" s="176"/>
      <x:c r="O144" s="176"/>
      <x:c r="P144" s="176"/>
      <x:c r="Q144" s="176"/>
      <x:c r="R144" s="176"/>
      <x:c r="S144" s="176"/>
      <x:c r="T144" s="176"/>
      <x:c r="U144" s="176"/>
      <x:c r="V144" s="176"/>
      <x:c r="W144" s="176"/>
      <x:c r="X144" s="176"/>
    </x:row>
    <x:row r="145">
      <x:c r="A145" s="176"/>
      <x:c r="B145" s="176"/>
      <x:c r="C145" s="176"/>
      <x:c r="D145" s="176"/>
      <x:c r="E145" s="176"/>
      <x:c r="F145" s="176"/>
      <x:c r="G145" s="176"/>
      <x:c r="H145" s="176"/>
      <x:c r="I145" s="176"/>
      <x:c r="J145" s="176"/>
      <x:c r="K145" s="176"/>
      <x:c r="L145" s="176"/>
      <x:c r="M145" s="176"/>
      <x:c r="N145" s="176"/>
      <x:c r="O145" s="176"/>
      <x:c r="P145" s="176"/>
      <x:c r="Q145" s="176"/>
      <x:c r="R145" s="176"/>
      <x:c r="S145" s="176"/>
      <x:c r="T145" s="176"/>
      <x:c r="U145" s="176"/>
      <x:c r="V145" s="176"/>
      <x:c r="W145" s="176"/>
      <x:c r="X145" s="176"/>
    </x:row>
    <x:row r="146">
      <x:c r="A146" s="176"/>
      <x:c r="B146" s="176"/>
      <x:c r="C146" s="176"/>
      <x:c r="D146" s="176"/>
      <x:c r="E146" s="176"/>
      <x:c r="F146" s="176"/>
      <x:c r="G146" s="176"/>
      <x:c r="H146" s="176"/>
      <x:c r="I146" s="176"/>
      <x:c r="J146" s="176"/>
      <x:c r="K146" s="176"/>
      <x:c r="L146" s="176"/>
      <x:c r="M146" s="176"/>
      <x:c r="N146" s="176"/>
      <x:c r="O146" s="176"/>
      <x:c r="P146" s="176"/>
      <x:c r="Q146" s="176"/>
      <x:c r="R146" s="176"/>
      <x:c r="S146" s="176"/>
      <x:c r="T146" s="176"/>
      <x:c r="U146" s="176"/>
      <x:c r="V146" s="176"/>
      <x:c r="W146" s="176"/>
      <x:c r="X146" s="176"/>
    </x:row>
    <x:row r="147">
      <x:c r="A147" s="176"/>
      <x:c r="B147" s="176"/>
      <x:c r="C147" s="176"/>
      <x:c r="D147" s="176"/>
      <x:c r="E147" s="176"/>
      <x:c r="F147" s="176"/>
      <x:c r="G147" s="176"/>
      <x:c r="H147" s="176"/>
      <x:c r="I147" s="176"/>
      <x:c r="J147" s="176"/>
      <x:c r="K147" s="176"/>
      <x:c r="L147" s="176"/>
      <x:c r="M147" s="176"/>
      <x:c r="N147" s="176"/>
      <x:c r="O147" s="176"/>
      <x:c r="P147" s="176"/>
      <x:c r="Q147" s="176"/>
      <x:c r="R147" s="176"/>
      <x:c r="S147" s="176"/>
      <x:c r="T147" s="176"/>
      <x:c r="U147" s="176"/>
      <x:c r="V147" s="176"/>
      <x:c r="W147" s="176"/>
      <x:c r="X147" s="176"/>
    </x:row>
    <x:row r="148">
      <x:c r="A148" s="176"/>
      <x:c r="B148" s="176"/>
      <x:c r="C148" s="176"/>
      <x:c r="D148" s="176"/>
      <x:c r="E148" s="176"/>
      <x:c r="F148" s="176"/>
      <x:c r="G148" s="176"/>
      <x:c r="H148" s="176"/>
      <x:c r="I148" s="176"/>
      <x:c r="J148" s="176"/>
      <x:c r="K148" s="176"/>
      <x:c r="L148" s="176"/>
      <x:c r="M148" s="176"/>
      <x:c r="N148" s="176"/>
      <x:c r="O148" s="176"/>
      <x:c r="P148" s="176"/>
      <x:c r="Q148" s="176"/>
      <x:c r="R148" s="176"/>
      <x:c r="S148" s="176"/>
      <x:c r="T148" s="176"/>
      <x:c r="U148" s="176"/>
      <x:c r="V148" s="176"/>
      <x:c r="W148" s="176"/>
      <x:c r="X148" s="176"/>
    </x:row>
    <x:row r="149">
      <x:c r="A149" s="176"/>
      <x:c r="B149" s="176"/>
      <x:c r="C149" s="176"/>
      <x:c r="D149" s="176"/>
      <x:c r="E149" s="176"/>
      <x:c r="F149" s="176"/>
      <x:c r="G149" s="176"/>
      <x:c r="H149" s="176"/>
      <x:c r="I149" s="176"/>
      <x:c r="J149" s="176"/>
      <x:c r="K149" s="176"/>
      <x:c r="L149" s="176"/>
      <x:c r="M149" s="176"/>
      <x:c r="N149" s="176"/>
      <x:c r="O149" s="176"/>
      <x:c r="P149" s="176"/>
      <x:c r="Q149" s="176"/>
      <x:c r="R149" s="176"/>
      <x:c r="S149" s="176"/>
      <x:c r="T149" s="176"/>
      <x:c r="U149" s="176"/>
      <x:c r="V149" s="176"/>
      <x:c r="W149" s="176"/>
      <x:c r="X149" s="176"/>
    </x:row>
    <x:row r="150">
      <x:c r="A150" s="176"/>
      <x:c r="B150" s="176"/>
      <x:c r="C150" s="176"/>
      <x:c r="D150" s="176"/>
      <x:c r="E150" s="176"/>
      <x:c r="F150" s="176"/>
      <x:c r="G150" s="176"/>
      <x:c r="H150" s="176"/>
      <x:c r="I150" s="176"/>
      <x:c r="J150" s="176"/>
      <x:c r="K150" s="176"/>
      <x:c r="L150" s="176"/>
      <x:c r="M150" s="176"/>
      <x:c r="N150" s="176"/>
      <x:c r="O150" s="176"/>
      <x:c r="P150" s="176"/>
      <x:c r="Q150" s="176"/>
      <x:c r="R150" s="176"/>
      <x:c r="S150" s="176"/>
      <x:c r="T150" s="176"/>
      <x:c r="U150" s="176"/>
      <x:c r="V150" s="176"/>
      <x:c r="W150" s="176"/>
      <x:c r="X150" s="176"/>
    </x:row>
    <x:row r="151">
      <x:c r="A151" s="176"/>
      <x:c r="B151" s="176"/>
      <x:c r="C151" s="176"/>
      <x:c r="D151" s="176"/>
      <x:c r="E151" s="176"/>
      <x:c r="F151" s="176"/>
      <x:c r="G151" s="176"/>
      <x:c r="H151" s="176"/>
      <x:c r="I151" s="176"/>
      <x:c r="J151" s="176"/>
      <x:c r="K151" s="176"/>
      <x:c r="L151" s="176"/>
      <x:c r="M151" s="176"/>
      <x:c r="N151" s="176"/>
      <x:c r="O151" s="176"/>
      <x:c r="P151" s="176"/>
      <x:c r="Q151" s="176"/>
      <x:c r="R151" s="176"/>
      <x:c r="S151" s="176"/>
      <x:c r="T151" s="176"/>
      <x:c r="U151" s="176"/>
      <x:c r="V151" s="176"/>
      <x:c r="W151" s="176"/>
      <x:c r="X151" s="176"/>
    </x:row>
    <x:row r="152">
      <x:c r="A152" s="176"/>
      <x:c r="B152" s="176"/>
      <x:c r="C152" s="176"/>
      <x:c r="D152" s="176"/>
      <x:c r="E152" s="176"/>
      <x:c r="F152" s="176"/>
      <x:c r="G152" s="176"/>
      <x:c r="H152" s="176"/>
      <x:c r="I152" s="176"/>
      <x:c r="J152" s="176"/>
      <x:c r="K152" s="176"/>
      <x:c r="L152" s="176"/>
      <x:c r="M152" s="176"/>
      <x:c r="N152" s="176"/>
      <x:c r="O152" s="176"/>
      <x:c r="P152" s="176"/>
      <x:c r="Q152" s="176"/>
      <x:c r="R152" s="176"/>
      <x:c r="S152" s="176"/>
      <x:c r="T152" s="176"/>
      <x:c r="U152" s="176"/>
      <x:c r="V152" s="176"/>
      <x:c r="W152" s="176"/>
      <x:c r="X152" s="176"/>
    </x:row>
    <x:row r="153">
      <x:c r="A153" s="176"/>
      <x:c r="B153" s="176"/>
      <x:c r="C153" s="176"/>
      <x:c r="D153" s="176"/>
      <x:c r="E153" s="176"/>
      <x:c r="F153" s="176"/>
      <x:c r="G153" s="176"/>
      <x:c r="H153" s="176"/>
      <x:c r="I153" s="176"/>
      <x:c r="J153" s="176"/>
      <x:c r="K153" s="176"/>
      <x:c r="L153" s="176"/>
      <x:c r="M153" s="176"/>
      <x:c r="N153" s="176"/>
      <x:c r="O153" s="176"/>
      <x:c r="P153" s="176"/>
      <x:c r="Q153" s="176"/>
      <x:c r="R153" s="176"/>
      <x:c r="S153" s="176"/>
      <x:c r="T153" s="176"/>
      <x:c r="U153" s="176"/>
      <x:c r="V153" s="176"/>
      <x:c r="W153" s="176"/>
      <x:c r="X153" s="176"/>
    </x:row>
    <x:row r="154">
      <x:c r="A154" s="176"/>
      <x:c r="B154" s="176"/>
      <x:c r="C154" s="176"/>
      <x:c r="D154" s="176"/>
      <x:c r="E154" s="176"/>
      <x:c r="F154" s="176"/>
      <x:c r="G154" s="176"/>
      <x:c r="H154" s="176"/>
      <x:c r="I154" s="176"/>
      <x:c r="J154" s="176"/>
      <x:c r="K154" s="176"/>
      <x:c r="L154" s="176"/>
      <x:c r="M154" s="176"/>
      <x:c r="N154" s="176"/>
      <x:c r="O154" s="176"/>
      <x:c r="P154" s="176"/>
      <x:c r="Q154" s="176"/>
      <x:c r="R154" s="176"/>
      <x:c r="S154" s="176"/>
      <x:c r="T154" s="176"/>
      <x:c r="U154" s="176"/>
      <x:c r="V154" s="176"/>
      <x:c r="W154" s="176"/>
      <x:c r="X154" s="176"/>
    </x:row>
    <x:row r="155">
      <x:c r="A155" s="176"/>
      <x:c r="B155" s="176"/>
      <x:c r="C155" s="176"/>
      <x:c r="D155" s="176"/>
      <x:c r="E155" s="176"/>
      <x:c r="F155" s="176"/>
      <x:c r="G155" s="176"/>
      <x:c r="H155" s="176"/>
      <x:c r="I155" s="176"/>
      <x:c r="J155" s="176"/>
      <x:c r="K155" s="176"/>
      <x:c r="L155" s="176"/>
      <x:c r="M155" s="176"/>
      <x:c r="N155" s="176"/>
      <x:c r="O155" s="176"/>
      <x:c r="P155" s="176"/>
      <x:c r="Q155" s="176"/>
      <x:c r="R155" s="176"/>
      <x:c r="S155" s="176"/>
      <x:c r="T155" s="176"/>
      <x:c r="U155" s="176"/>
      <x:c r="V155" s="176"/>
      <x:c r="W155" s="176"/>
      <x:c r="X155" s="176"/>
    </x:row>
    <x:row r="156">
      <x:c r="A156" s="176"/>
      <x:c r="B156" s="176"/>
      <x:c r="C156" s="176"/>
      <x:c r="D156" s="176"/>
      <x:c r="E156" s="176"/>
      <x:c r="F156" s="176"/>
      <x:c r="G156" s="176"/>
      <x:c r="H156" s="176"/>
      <x:c r="I156" s="176"/>
      <x:c r="J156" s="176"/>
      <x:c r="K156" s="176"/>
      <x:c r="L156" s="176"/>
      <x:c r="M156" s="176"/>
      <x:c r="N156" s="176"/>
      <x:c r="O156" s="176"/>
      <x:c r="P156" s="176"/>
      <x:c r="Q156" s="176"/>
      <x:c r="R156" s="176"/>
      <x:c r="S156" s="176"/>
      <x:c r="T156" s="176"/>
      <x:c r="U156" s="176"/>
      <x:c r="V156" s="176"/>
      <x:c r="W156" s="176"/>
      <x:c r="X156" s="176"/>
    </x:row>
    <x:row r="157">
      <x:c r="A157" s="176"/>
      <x:c r="B157" s="176"/>
      <x:c r="C157" s="176"/>
      <x:c r="D157" s="176"/>
      <x:c r="E157" s="176"/>
      <x:c r="F157" s="176"/>
      <x:c r="G157" s="176"/>
      <x:c r="H157" s="176"/>
      <x:c r="I157" s="176"/>
      <x:c r="J157" s="176"/>
      <x:c r="K157" s="176"/>
      <x:c r="L157" s="176"/>
      <x:c r="M157" s="176"/>
      <x:c r="N157" s="176"/>
      <x:c r="O157" s="176"/>
      <x:c r="P157" s="176"/>
      <x:c r="Q157" s="176"/>
      <x:c r="R157" s="176"/>
      <x:c r="S157" s="176"/>
      <x:c r="T157" s="176"/>
      <x:c r="U157" s="176"/>
      <x:c r="V157" s="176"/>
      <x:c r="W157" s="176"/>
      <x:c r="X157" s="176"/>
    </x:row>
    <x:row r="158">
      <x:c r="A158" s="176"/>
      <x:c r="B158" s="176"/>
      <x:c r="C158" s="176"/>
      <x:c r="D158" s="176"/>
      <x:c r="E158" s="176"/>
      <x:c r="F158" s="176"/>
      <x:c r="G158" s="176"/>
      <x:c r="H158" s="176"/>
      <x:c r="I158" s="176"/>
      <x:c r="J158" s="176"/>
      <x:c r="K158" s="176"/>
      <x:c r="L158" s="176"/>
      <x:c r="M158" s="176"/>
      <x:c r="N158" s="176"/>
      <x:c r="O158" s="176"/>
      <x:c r="P158" s="176"/>
      <x:c r="Q158" s="176"/>
      <x:c r="R158" s="176"/>
      <x:c r="S158" s="176"/>
      <x:c r="T158" s="176"/>
      <x:c r="U158" s="176"/>
      <x:c r="V158" s="176"/>
      <x:c r="W158" s="176"/>
      <x:c r="X158" s="176"/>
    </x:row>
    <x:row r="159">
      <x:c r="A159" s="176"/>
      <x:c r="B159" s="176"/>
      <x:c r="C159" s="176"/>
      <x:c r="D159" s="176"/>
      <x:c r="E159" s="176"/>
      <x:c r="F159" s="176"/>
      <x:c r="G159" s="176"/>
      <x:c r="H159" s="176"/>
      <x:c r="I159" s="176"/>
      <x:c r="J159" s="176"/>
      <x:c r="K159" s="176"/>
      <x:c r="L159" s="176"/>
      <x:c r="M159" s="176"/>
      <x:c r="N159" s="176"/>
      <x:c r="O159" s="176"/>
      <x:c r="P159" s="176"/>
      <x:c r="Q159" s="176"/>
      <x:c r="R159" s="176"/>
      <x:c r="S159" s="176"/>
      <x:c r="T159" s="176"/>
      <x:c r="U159" s="176"/>
      <x:c r="V159" s="176"/>
      <x:c r="W159" s="176"/>
      <x:c r="X159" s="176"/>
    </x:row>
    <x:row r="160">
      <x:c r="A160" s="176"/>
      <x:c r="B160" s="176"/>
      <x:c r="C160" s="176"/>
      <x:c r="D160" s="176"/>
      <x:c r="E160" s="176"/>
      <x:c r="F160" s="176"/>
      <x:c r="G160" s="176"/>
      <x:c r="H160" s="176"/>
      <x:c r="I160" s="176"/>
      <x:c r="J160" s="176"/>
      <x:c r="K160" s="176"/>
      <x:c r="L160" s="176"/>
      <x:c r="M160" s="176"/>
      <x:c r="N160" s="176"/>
      <x:c r="O160" s="176"/>
      <x:c r="P160" s="176"/>
      <x:c r="Q160" s="176"/>
      <x:c r="R160" s="176"/>
      <x:c r="S160" s="176"/>
      <x:c r="T160" s="176"/>
      <x:c r="U160" s="176"/>
      <x:c r="V160" s="176"/>
      <x:c r="W160" s="176"/>
      <x:c r="X160" s="176"/>
    </x:row>
    <x:row r="161">
      <x:c r="A161" s="176"/>
      <x:c r="B161" s="176"/>
      <x:c r="C161" s="176"/>
      <x:c r="D161" s="176"/>
      <x:c r="E161" s="176"/>
      <x:c r="F161" s="176"/>
      <x:c r="G161" s="176"/>
      <x:c r="H161" s="176"/>
      <x:c r="I161" s="176"/>
      <x:c r="J161" s="176"/>
      <x:c r="K161" s="176"/>
      <x:c r="L161" s="176"/>
      <x:c r="M161" s="176"/>
      <x:c r="N161" s="176"/>
      <x:c r="O161" s="176"/>
      <x:c r="P161" s="176"/>
      <x:c r="Q161" s="176"/>
      <x:c r="R161" s="176"/>
      <x:c r="S161" s="176"/>
      <x:c r="T161" s="176"/>
      <x:c r="U161" s="176"/>
      <x:c r="V161" s="176"/>
      <x:c r="W161" s="176"/>
      <x:c r="X161" s="176"/>
    </x:row>
    <x:row r="162">
      <x:c r="A162" s="176"/>
      <x:c r="B162" s="176"/>
      <x:c r="C162" s="176"/>
      <x:c r="D162" s="176"/>
      <x:c r="E162" s="176"/>
      <x:c r="F162" s="176"/>
      <x:c r="G162" s="176"/>
      <x:c r="H162" s="176"/>
      <x:c r="I162" s="176"/>
      <x:c r="J162" s="176"/>
      <x:c r="K162" s="176"/>
      <x:c r="L162" s="176"/>
      <x:c r="M162" s="176"/>
      <x:c r="N162" s="176"/>
      <x:c r="O162" s="176"/>
      <x:c r="P162" s="176"/>
      <x:c r="Q162" s="176"/>
      <x:c r="R162" s="176"/>
      <x:c r="S162" s="176"/>
      <x:c r="T162" s="176"/>
      <x:c r="U162" s="176"/>
      <x:c r="V162" s="176"/>
      <x:c r="W162" s="176"/>
      <x:c r="X162" s="176"/>
    </x:row>
    <x:row r="163">
      <x:c r="A163" s="176"/>
      <x:c r="B163" s="176"/>
      <x:c r="C163" s="176"/>
      <x:c r="D163" s="176"/>
      <x:c r="E163" s="176"/>
      <x:c r="F163" s="176"/>
      <x:c r="G163" s="176"/>
      <x:c r="H163" s="176"/>
      <x:c r="I163" s="176"/>
      <x:c r="J163" s="176"/>
      <x:c r="K163" s="176"/>
      <x:c r="L163" s="176"/>
      <x:c r="M163" s="176"/>
      <x:c r="N163" s="176"/>
      <x:c r="O163" s="176"/>
      <x:c r="P163" s="176"/>
      <x:c r="Q163" s="176"/>
      <x:c r="R163" s="176"/>
      <x:c r="S163" s="176"/>
      <x:c r="T163" s="176"/>
      <x:c r="U163" s="176"/>
      <x:c r="V163" s="176"/>
      <x:c r="W163" s="176"/>
      <x:c r="X163" s="176"/>
    </x:row>
    <x:row r="164">
      <x:c r="A164" s="176"/>
      <x:c r="B164" s="176"/>
      <x:c r="C164" s="176"/>
      <x:c r="D164" s="176"/>
      <x:c r="E164" s="176"/>
      <x:c r="F164" s="176"/>
      <x:c r="G164" s="176"/>
      <x:c r="H164" s="176"/>
      <x:c r="I164" s="176"/>
      <x:c r="J164" s="176"/>
      <x:c r="K164" s="176"/>
      <x:c r="L164" s="176"/>
      <x:c r="M164" s="176"/>
      <x:c r="N164" s="176"/>
      <x:c r="O164" s="176"/>
      <x:c r="P164" s="176"/>
      <x:c r="Q164" s="176"/>
      <x:c r="R164" s="176"/>
      <x:c r="S164" s="176"/>
      <x:c r="T164" s="176"/>
      <x:c r="U164" s="176"/>
      <x:c r="V164" s="176"/>
      <x:c r="W164" s="176"/>
      <x:c r="X164" s="176"/>
    </x:row>
    <x:row r="165">
      <x:c r="A165" s="176"/>
      <x:c r="B165" s="176"/>
      <x:c r="C165" s="176"/>
      <x:c r="D165" s="176"/>
      <x:c r="E165" s="176"/>
      <x:c r="F165" s="176"/>
      <x:c r="G165" s="176"/>
      <x:c r="H165" s="176"/>
      <x:c r="I165" s="176"/>
      <x:c r="J165" s="176"/>
      <x:c r="K165" s="176"/>
      <x:c r="L165" s="176"/>
      <x:c r="M165" s="176"/>
      <x:c r="N165" s="176"/>
      <x:c r="O165" s="176"/>
      <x:c r="P165" s="176"/>
      <x:c r="Q165" s="176"/>
      <x:c r="R165" s="176"/>
      <x:c r="S165" s="176"/>
      <x:c r="T165" s="176"/>
      <x:c r="U165" s="176"/>
      <x:c r="V165" s="176"/>
      <x:c r="W165" s="176"/>
      <x:c r="X165" s="176"/>
    </x:row>
    <x:row r="166">
      <x:c r="A166" s="176"/>
      <x:c r="B166" s="176"/>
      <x:c r="C166" s="176"/>
      <x:c r="D166" s="176"/>
      <x:c r="E166" s="176"/>
      <x:c r="F166" s="176"/>
      <x:c r="G166" s="176"/>
      <x:c r="H166" s="176"/>
      <x:c r="I166" s="176"/>
      <x:c r="J166" s="176"/>
      <x:c r="K166" s="176"/>
      <x:c r="L166" s="176"/>
      <x:c r="M166" s="176"/>
      <x:c r="N166" s="176"/>
      <x:c r="O166" s="176"/>
      <x:c r="P166" s="176"/>
      <x:c r="Q166" s="176"/>
      <x:c r="R166" s="176"/>
      <x:c r="S166" s="176"/>
      <x:c r="T166" s="176"/>
      <x:c r="U166" s="176"/>
      <x:c r="V166" s="176"/>
      <x:c r="W166" s="176"/>
      <x:c r="X166" s="176"/>
    </x:row>
    <x:row r="167">
      <x:c r="A167" s="176"/>
      <x:c r="B167" s="176"/>
      <x:c r="C167" s="176"/>
      <x:c r="D167" s="176"/>
      <x:c r="E167" s="176"/>
      <x:c r="F167" s="176"/>
      <x:c r="G167" s="176"/>
      <x:c r="H167" s="176"/>
      <x:c r="I167" s="176"/>
      <x:c r="J167" s="176"/>
      <x:c r="K167" s="176"/>
      <x:c r="L167" s="176"/>
      <x:c r="M167" s="176"/>
      <x:c r="N167" s="176"/>
      <x:c r="O167" s="176"/>
      <x:c r="P167" s="176"/>
      <x:c r="Q167" s="176"/>
      <x:c r="R167" s="176"/>
      <x:c r="S167" s="176"/>
      <x:c r="T167" s="176"/>
      <x:c r="U167" s="176"/>
      <x:c r="V167" s="176"/>
      <x:c r="W167" s="176"/>
      <x:c r="X167" s="176"/>
    </x:row>
    <x:row r="168">
      <x:c r="A168" s="176"/>
      <x:c r="B168" s="176"/>
      <x:c r="C168" s="176"/>
      <x:c r="D168" s="176"/>
      <x:c r="E168" s="176"/>
      <x:c r="F168" s="176"/>
      <x:c r="G168" s="176"/>
      <x:c r="H168" s="176"/>
      <x:c r="I168" s="176"/>
      <x:c r="J168" s="176"/>
      <x:c r="K168" s="176"/>
      <x:c r="L168" s="176"/>
      <x:c r="M168" s="176"/>
      <x:c r="N168" s="176"/>
      <x:c r="O168" s="176"/>
      <x:c r="P168" s="176"/>
      <x:c r="Q168" s="176"/>
      <x:c r="R168" s="176"/>
      <x:c r="S168" s="176"/>
      <x:c r="T168" s="176"/>
      <x:c r="U168" s="176"/>
      <x:c r="V168" s="176"/>
      <x:c r="W168" s="176"/>
      <x:c r="X168" s="176"/>
    </x:row>
    <x:row r="169">
      <x:c r="A169" s="176"/>
      <x:c r="B169" s="176"/>
      <x:c r="C169" s="176"/>
      <x:c r="D169" s="176"/>
      <x:c r="E169" s="176"/>
      <x:c r="F169" s="176"/>
      <x:c r="G169" s="176"/>
      <x:c r="H169" s="176"/>
      <x:c r="I169" s="176"/>
      <x:c r="J169" s="176"/>
      <x:c r="K169" s="176"/>
      <x:c r="L169" s="176"/>
      <x:c r="M169" s="176"/>
      <x:c r="N169" s="176"/>
      <x:c r="O169" s="176"/>
      <x:c r="P169" s="176"/>
      <x:c r="Q169" s="176"/>
      <x:c r="R169" s="176"/>
      <x:c r="S169" s="176"/>
      <x:c r="T169" s="176"/>
      <x:c r="U169" s="176"/>
      <x:c r="V169" s="176"/>
      <x:c r="W169" s="176"/>
      <x:c r="X169" s="176"/>
    </x:row>
    <x:row r="170">
      <x:c r="A170" s="176"/>
      <x:c r="B170" s="176"/>
      <x:c r="C170" s="176"/>
      <x:c r="D170" s="176"/>
      <x:c r="E170" s="176"/>
      <x:c r="F170" s="176"/>
      <x:c r="G170" s="176"/>
      <x:c r="H170" s="176"/>
      <x:c r="I170" s="176"/>
      <x:c r="J170" s="176"/>
      <x:c r="K170" s="176"/>
      <x:c r="L170" s="176"/>
      <x:c r="M170" s="176"/>
      <x:c r="N170" s="176"/>
      <x:c r="O170" s="176"/>
      <x:c r="P170" s="176"/>
      <x:c r="Q170" s="176"/>
      <x:c r="R170" s="176"/>
      <x:c r="S170" s="176"/>
      <x:c r="T170" s="176"/>
      <x:c r="U170" s="176"/>
      <x:c r="V170" s="176"/>
      <x:c r="W170" s="176"/>
      <x:c r="X170" s="176"/>
    </x:row>
    <x:row r="171">
      <x:c r="A171" s="176"/>
      <x:c r="B171" s="176"/>
      <x:c r="C171" s="176"/>
      <x:c r="D171" s="176"/>
      <x:c r="E171" s="176"/>
      <x:c r="F171" s="176"/>
      <x:c r="G171" s="176"/>
      <x:c r="H171" s="176"/>
      <x:c r="I171" s="176"/>
      <x:c r="J171" s="176"/>
      <x:c r="K171" s="176"/>
      <x:c r="L171" s="176"/>
      <x:c r="M171" s="176"/>
      <x:c r="N171" s="176"/>
      <x:c r="O171" s="176"/>
      <x:c r="P171" s="176"/>
      <x:c r="Q171" s="176"/>
      <x:c r="R171" s="176"/>
      <x:c r="S171" s="176"/>
      <x:c r="T171" s="176"/>
      <x:c r="U171" s="176"/>
      <x:c r="V171" s="176"/>
      <x:c r="W171" s="176"/>
      <x:c r="X171" s="176"/>
    </x:row>
    <x:row r="172">
      <x:c r="A172" s="176"/>
      <x:c r="B172" s="176"/>
      <x:c r="C172" s="176"/>
      <x:c r="D172" s="176"/>
      <x:c r="E172" s="176"/>
      <x:c r="F172" s="176"/>
      <x:c r="G172" s="176"/>
      <x:c r="H172" s="176"/>
      <x:c r="I172" s="176"/>
      <x:c r="J172" s="176"/>
      <x:c r="K172" s="176"/>
      <x:c r="L172" s="176"/>
      <x:c r="M172" s="176"/>
      <x:c r="N172" s="176"/>
      <x:c r="O172" s="176"/>
      <x:c r="P172" s="176"/>
      <x:c r="Q172" s="176"/>
      <x:c r="R172" s="176"/>
      <x:c r="S172" s="176"/>
      <x:c r="T172" s="176"/>
      <x:c r="U172" s="176"/>
      <x:c r="V172" s="176"/>
      <x:c r="W172" s="176"/>
      <x:c r="X172" s="176"/>
    </x:row>
    <x:row r="173">
      <x:c r="A173" s="176"/>
      <x:c r="B173" s="176"/>
      <x:c r="C173" s="176"/>
      <x:c r="D173" s="176"/>
      <x:c r="E173" s="176"/>
      <x:c r="F173" s="176"/>
      <x:c r="G173" s="176"/>
      <x:c r="H173" s="176"/>
      <x:c r="I173" s="176"/>
      <x:c r="J173" s="176"/>
      <x:c r="K173" s="176"/>
      <x:c r="L173" s="176"/>
      <x:c r="M173" s="176"/>
      <x:c r="N173" s="176"/>
      <x:c r="O173" s="176"/>
      <x:c r="P173" s="176"/>
      <x:c r="Q173" s="176"/>
      <x:c r="R173" s="176"/>
      <x:c r="S173" s="176"/>
      <x:c r="T173" s="176"/>
      <x:c r="U173" s="176"/>
      <x:c r="V173" s="176"/>
      <x:c r="W173" s="176"/>
      <x:c r="X173" s="176"/>
    </x:row>
    <x:row r="174">
      <x:c r="A174" s="176"/>
      <x:c r="B174" s="176"/>
      <x:c r="C174" s="176"/>
      <x:c r="D174" s="176"/>
      <x:c r="E174" s="176"/>
      <x:c r="F174" s="176"/>
      <x:c r="G174" s="176"/>
      <x:c r="H174" s="176"/>
      <x:c r="I174" s="176"/>
      <x:c r="J174" s="176"/>
      <x:c r="K174" s="176"/>
      <x:c r="L174" s="176"/>
      <x:c r="M174" s="176"/>
      <x:c r="N174" s="176"/>
      <x:c r="O174" s="176"/>
      <x:c r="P174" s="176"/>
      <x:c r="Q174" s="176"/>
      <x:c r="R174" s="176"/>
      <x:c r="S174" s="176"/>
      <x:c r="T174" s="176"/>
      <x:c r="U174" s="176"/>
      <x:c r="V174" s="176"/>
      <x:c r="W174" s="176"/>
      <x:c r="X174" s="176"/>
    </x:row>
    <x:row r="175">
      <x:c r="A175" s="176"/>
      <x:c r="B175" s="176"/>
      <x:c r="C175" s="176"/>
      <x:c r="D175" s="176"/>
      <x:c r="E175" s="176"/>
      <x:c r="F175" s="176"/>
      <x:c r="G175" s="176"/>
      <x:c r="H175" s="176"/>
      <x:c r="I175" s="176"/>
      <x:c r="J175" s="176"/>
      <x:c r="K175" s="176"/>
      <x:c r="L175" s="176"/>
      <x:c r="M175" s="176"/>
      <x:c r="N175" s="176"/>
      <x:c r="O175" s="176"/>
      <x:c r="P175" s="176"/>
      <x:c r="Q175" s="176"/>
      <x:c r="R175" s="176"/>
      <x:c r="S175" s="176"/>
      <x:c r="T175" s="176"/>
      <x:c r="U175" s="176"/>
      <x:c r="V175" s="176"/>
      <x:c r="W175" s="176"/>
      <x:c r="X175" s="176"/>
    </x:row>
    <x:row r="176">
      <x:c r="A176" s="176"/>
      <x:c r="B176" s="176"/>
      <x:c r="C176" s="176"/>
      <x:c r="D176" s="176"/>
      <x:c r="E176" s="176"/>
      <x:c r="F176" s="176"/>
      <x:c r="G176" s="176"/>
      <x:c r="H176" s="176"/>
      <x:c r="I176" s="176"/>
      <x:c r="J176" s="176"/>
      <x:c r="K176" s="176"/>
      <x:c r="L176" s="176"/>
      <x:c r="M176" s="176"/>
      <x:c r="N176" s="176"/>
      <x:c r="O176" s="176"/>
      <x:c r="P176" s="176"/>
      <x:c r="Q176" s="176"/>
      <x:c r="R176" s="176"/>
      <x:c r="S176" s="176"/>
      <x:c r="T176" s="176"/>
      <x:c r="U176" s="176"/>
      <x:c r="V176" s="176"/>
      <x:c r="W176" s="176"/>
      <x:c r="X176" s="176"/>
    </x:row>
    <x:row r="177">
      <x:c r="A177" s="176"/>
      <x:c r="B177" s="176"/>
      <x:c r="C177" s="176"/>
      <x:c r="D177" s="176"/>
      <x:c r="E177" s="176"/>
      <x:c r="F177" s="176"/>
      <x:c r="G177" s="176"/>
      <x:c r="H177" s="176"/>
      <x:c r="I177" s="176"/>
      <x:c r="J177" s="176"/>
      <x:c r="K177" s="176"/>
      <x:c r="L177" s="176"/>
      <x:c r="M177" s="176"/>
      <x:c r="N177" s="176"/>
      <x:c r="O177" s="176"/>
      <x:c r="P177" s="176"/>
      <x:c r="Q177" s="176"/>
      <x:c r="R177" s="176"/>
      <x:c r="S177" s="176"/>
      <x:c r="T177" s="176"/>
      <x:c r="U177" s="176"/>
      <x:c r="V177" s="176"/>
      <x:c r="W177" s="176"/>
      <x:c r="X177" s="176"/>
    </x:row>
    <x:row r="178">
      <x:c r="A178" s="176"/>
      <x:c r="B178" s="176"/>
      <x:c r="C178" s="176"/>
      <x:c r="D178" s="176"/>
      <x:c r="E178" s="176"/>
      <x:c r="F178" s="176"/>
      <x:c r="G178" s="176"/>
      <x:c r="H178" s="176"/>
      <x:c r="I178" s="176"/>
      <x:c r="J178" s="176"/>
      <x:c r="K178" s="176"/>
      <x:c r="L178" s="176"/>
      <x:c r="M178" s="176"/>
      <x:c r="N178" s="176"/>
      <x:c r="O178" s="176"/>
      <x:c r="P178" s="176"/>
      <x:c r="Q178" s="176"/>
      <x:c r="R178" s="176"/>
      <x:c r="S178" s="176"/>
      <x:c r="T178" s="176"/>
      <x:c r="U178" s="176"/>
      <x:c r="V178" s="176"/>
      <x:c r="W178" s="176"/>
      <x:c r="X178" s="176"/>
    </x:row>
    <x:row r="179">
      <x:c r="A179" s="176"/>
      <x:c r="B179" s="176"/>
      <x:c r="C179" s="176"/>
      <x:c r="D179" s="176"/>
      <x:c r="E179" s="176"/>
      <x:c r="F179" s="176"/>
      <x:c r="G179" s="176"/>
      <x:c r="H179" s="176"/>
      <x:c r="I179" s="176"/>
      <x:c r="J179" s="176"/>
      <x:c r="K179" s="176"/>
      <x:c r="L179" s="176"/>
      <x:c r="M179" s="176"/>
      <x:c r="N179" s="176"/>
      <x:c r="O179" s="176"/>
      <x:c r="P179" s="176"/>
      <x:c r="Q179" s="176"/>
      <x:c r="R179" s="176"/>
      <x:c r="S179" s="176"/>
      <x:c r="T179" s="176"/>
      <x:c r="U179" s="176"/>
      <x:c r="V179" s="176"/>
      <x:c r="W179" s="176"/>
      <x:c r="X179" s="176"/>
    </x:row>
    <x:row r="180">
      <x:c r="A180" s="176"/>
      <x:c r="B180" s="176"/>
      <x:c r="C180" s="176"/>
      <x:c r="D180" s="176"/>
      <x:c r="E180" s="176"/>
      <x:c r="F180" s="176"/>
      <x:c r="G180" s="176"/>
      <x:c r="H180" s="176"/>
      <x:c r="I180" s="176"/>
      <x:c r="J180" s="176"/>
      <x:c r="K180" s="176"/>
      <x:c r="L180" s="176"/>
      <x:c r="M180" s="176"/>
      <x:c r="N180" s="176"/>
      <x:c r="O180" s="176"/>
      <x:c r="P180" s="176"/>
      <x:c r="Q180" s="176"/>
      <x:c r="R180" s="176"/>
      <x:c r="S180" s="176"/>
      <x:c r="T180" s="176"/>
      <x:c r="U180" s="176"/>
      <x:c r="V180" s="176"/>
      <x:c r="W180" s="176"/>
      <x:c r="X180" s="176"/>
    </x:row>
    <x:row r="181">
      <x:c r="A181" s="176"/>
      <x:c r="B181" s="176"/>
      <x:c r="C181" s="176"/>
      <x:c r="D181" s="176"/>
      <x:c r="E181" s="176"/>
      <x:c r="F181" s="176"/>
      <x:c r="G181" s="176"/>
      <x:c r="H181" s="176"/>
      <x:c r="I181" s="176"/>
      <x:c r="J181" s="176"/>
      <x:c r="K181" s="176"/>
      <x:c r="L181" s="176"/>
      <x:c r="M181" s="176"/>
      <x:c r="N181" s="176"/>
      <x:c r="O181" s="176"/>
      <x:c r="P181" s="176"/>
      <x:c r="Q181" s="176"/>
      <x:c r="R181" s="176"/>
      <x:c r="S181" s="176"/>
      <x:c r="T181" s="176"/>
      <x:c r="U181" s="176"/>
      <x:c r="V181" s="176"/>
      <x:c r="W181" s="176"/>
      <x:c r="X181" s="176"/>
    </x:row>
    <x:row r="182">
      <x:c r="A182" s="176"/>
      <x:c r="B182" s="176"/>
      <x:c r="C182" s="176"/>
      <x:c r="D182" s="176"/>
      <x:c r="E182" s="176"/>
      <x:c r="F182" s="176"/>
      <x:c r="G182" s="176"/>
      <x:c r="H182" s="176"/>
      <x:c r="I182" s="176"/>
      <x:c r="J182" s="176"/>
      <x:c r="K182" s="176"/>
      <x:c r="L182" s="176"/>
      <x:c r="M182" s="176"/>
      <x:c r="N182" s="176"/>
      <x:c r="O182" s="176"/>
      <x:c r="P182" s="176"/>
      <x:c r="Q182" s="176"/>
      <x:c r="R182" s="176"/>
      <x:c r="S182" s="176"/>
      <x:c r="T182" s="176"/>
      <x:c r="U182" s="176"/>
      <x:c r="V182" s="176"/>
      <x:c r="W182" s="176"/>
      <x:c r="X182" s="176"/>
    </x:row>
    <x:row r="183">
      <x:c r="A183" s="176"/>
      <x:c r="B183" s="176"/>
      <x:c r="C183" s="176"/>
      <x:c r="D183" s="176"/>
      <x:c r="E183" s="176"/>
      <x:c r="F183" s="176"/>
      <x:c r="G183" s="176"/>
      <x:c r="H183" s="176"/>
      <x:c r="I183" s="176"/>
      <x:c r="J183" s="176"/>
      <x:c r="K183" s="176"/>
      <x:c r="L183" s="176"/>
      <x:c r="M183" s="176"/>
      <x:c r="N183" s="176"/>
      <x:c r="O183" s="176"/>
      <x:c r="P183" s="176"/>
      <x:c r="Q183" s="176"/>
      <x:c r="R183" s="176"/>
      <x:c r="S183" s="176"/>
      <x:c r="T183" s="176"/>
      <x:c r="U183" s="176"/>
      <x:c r="V183" s="176"/>
      <x:c r="W183" s="176"/>
      <x:c r="X183" s="176"/>
    </x:row>
    <x:row r="184">
      <x:c r="A184" s="176"/>
      <x:c r="B184" s="176"/>
      <x:c r="C184" s="176"/>
      <x:c r="D184" s="176"/>
      <x:c r="E184" s="176"/>
      <x:c r="F184" s="176"/>
      <x:c r="G184" s="176"/>
      <x:c r="H184" s="176"/>
      <x:c r="I184" s="176"/>
      <x:c r="J184" s="176"/>
      <x:c r="K184" s="176"/>
      <x:c r="L184" s="176"/>
      <x:c r="M184" s="176"/>
      <x:c r="N184" s="176"/>
      <x:c r="O184" s="176"/>
      <x:c r="P184" s="176"/>
      <x:c r="Q184" s="176"/>
      <x:c r="R184" s="176"/>
      <x:c r="S184" s="176"/>
      <x:c r="T184" s="176"/>
      <x:c r="U184" s="176"/>
      <x:c r="V184" s="176"/>
      <x:c r="W184" s="176"/>
      <x:c r="X184" s="176"/>
    </x:row>
    <x:row r="185">
      <x:c r="A185" s="176"/>
      <x:c r="B185" s="176"/>
      <x:c r="C185" s="176"/>
      <x:c r="D185" s="176"/>
      <x:c r="E185" s="176"/>
      <x:c r="F185" s="176"/>
      <x:c r="G185" s="176"/>
      <x:c r="H185" s="176"/>
      <x:c r="I185" s="176"/>
      <x:c r="J185" s="176"/>
      <x:c r="K185" s="176"/>
      <x:c r="L185" s="176"/>
      <x:c r="M185" s="176"/>
      <x:c r="N185" s="176"/>
      <x:c r="O185" s="176"/>
      <x:c r="P185" s="176"/>
      <x:c r="Q185" s="176"/>
      <x:c r="R185" s="176"/>
      <x:c r="S185" s="176"/>
      <x:c r="T185" s="176"/>
      <x:c r="U185" s="176"/>
      <x:c r="V185" s="176"/>
      <x:c r="W185" s="176"/>
      <x:c r="X185" s="176"/>
    </x:row>
    <x:row r="186">
      <x:c r="A186" s="176"/>
      <x:c r="B186" s="176"/>
      <x:c r="C186" s="176"/>
      <x:c r="D186" s="176"/>
      <x:c r="E186" s="176"/>
      <x:c r="F186" s="176"/>
      <x:c r="G186" s="176"/>
      <x:c r="H186" s="176"/>
      <x:c r="I186" s="176"/>
      <x:c r="J186" s="176"/>
      <x:c r="K186" s="176"/>
      <x:c r="L186" s="176"/>
      <x:c r="M186" s="176"/>
      <x:c r="N186" s="176"/>
      <x:c r="O186" s="176"/>
      <x:c r="P186" s="176"/>
      <x:c r="Q186" s="176"/>
      <x:c r="R186" s="176"/>
      <x:c r="S186" s="176"/>
      <x:c r="T186" s="176"/>
      <x:c r="U186" s="176"/>
      <x:c r="V186" s="176"/>
      <x:c r="W186" s="176"/>
      <x:c r="X186" s="176"/>
    </x:row>
    <x:row r="187">
      <x:c r="A187" s="176"/>
      <x:c r="B187" s="176"/>
      <x:c r="C187" s="176"/>
      <x:c r="D187" s="176"/>
      <x:c r="E187" s="176"/>
      <x:c r="F187" s="176"/>
      <x:c r="G187" s="176"/>
      <x:c r="H187" s="176"/>
      <x:c r="I187" s="176"/>
      <x:c r="J187" s="176"/>
      <x:c r="K187" s="176"/>
      <x:c r="L187" s="176"/>
      <x:c r="M187" s="176"/>
      <x:c r="N187" s="176"/>
      <x:c r="O187" s="176"/>
      <x:c r="P187" s="176"/>
      <x:c r="Q187" s="176"/>
      <x:c r="R187" s="176"/>
      <x:c r="S187" s="176"/>
      <x:c r="T187" s="176"/>
      <x:c r="U187" s="176"/>
      <x:c r="V187" s="176"/>
      <x:c r="W187" s="176"/>
      <x:c r="X187" s="176"/>
    </x:row>
    <x:row r="188">
      <x:c r="A188" s="176"/>
      <x:c r="B188" s="176"/>
      <x:c r="C188" s="176"/>
      <x:c r="D188" s="176"/>
      <x:c r="E188" s="176"/>
      <x:c r="F188" s="176"/>
      <x:c r="G188" s="176"/>
      <x:c r="H188" s="176"/>
      <x:c r="I188" s="176"/>
      <x:c r="J188" s="176"/>
      <x:c r="K188" s="176"/>
      <x:c r="L188" s="176"/>
      <x:c r="M188" s="176"/>
      <x:c r="N188" s="176"/>
      <x:c r="O188" s="176"/>
      <x:c r="P188" s="176"/>
      <x:c r="Q188" s="176"/>
      <x:c r="R188" s="176"/>
      <x:c r="S188" s="176"/>
      <x:c r="T188" s="176"/>
      <x:c r="U188" s="176"/>
      <x:c r="V188" s="176"/>
      <x:c r="W188" s="176"/>
      <x:c r="X188" s="176"/>
    </x:row>
    <x:row r="189">
      <x:c r="A189" s="176"/>
      <x:c r="B189" s="176"/>
      <x:c r="C189" s="176"/>
      <x:c r="D189" s="176"/>
      <x:c r="E189" s="176"/>
      <x:c r="F189" s="176"/>
      <x:c r="G189" s="176"/>
      <x:c r="H189" s="176"/>
      <x:c r="I189" s="176"/>
      <x:c r="J189" s="176"/>
      <x:c r="K189" s="176"/>
      <x:c r="L189" s="176"/>
      <x:c r="M189" s="176"/>
      <x:c r="N189" s="176"/>
      <x:c r="O189" s="176"/>
      <x:c r="P189" s="176"/>
      <x:c r="Q189" s="176"/>
      <x:c r="R189" s="176"/>
      <x:c r="S189" s="176"/>
      <x:c r="T189" s="176"/>
      <x:c r="U189" s="176"/>
      <x:c r="V189" s="176"/>
      <x:c r="W189" s="176"/>
      <x:c r="X189" s="176"/>
    </x:row>
    <x:row r="190">
      <x:c r="A190" s="176"/>
      <x:c r="B190" s="176"/>
      <x:c r="C190" s="176"/>
      <x:c r="D190" s="176"/>
      <x:c r="E190" s="176"/>
      <x:c r="F190" s="176"/>
      <x:c r="G190" s="176"/>
      <x:c r="H190" s="176"/>
      <x:c r="I190" s="176"/>
      <x:c r="J190" s="176"/>
      <x:c r="K190" s="176"/>
      <x:c r="L190" s="176"/>
      <x:c r="M190" s="176"/>
      <x:c r="N190" s="176"/>
      <x:c r="O190" s="176"/>
      <x:c r="P190" s="176"/>
      <x:c r="Q190" s="176"/>
      <x:c r="R190" s="176"/>
      <x:c r="S190" s="176"/>
      <x:c r="T190" s="176"/>
      <x:c r="U190" s="176"/>
      <x:c r="V190" s="176"/>
      <x:c r="W190" s="176"/>
      <x:c r="X190" s="176"/>
    </x:row>
    <x:row r="191">
      <x:c r="A191" s="176"/>
      <x:c r="B191" s="176"/>
      <x:c r="C191" s="176"/>
      <x:c r="D191" s="176"/>
      <x:c r="E191" s="176"/>
      <x:c r="F191" s="176"/>
      <x:c r="G191" s="176"/>
      <x:c r="H191" s="176"/>
      <x:c r="I191" s="176"/>
      <x:c r="J191" s="176"/>
      <x:c r="K191" s="176"/>
      <x:c r="L191" s="176"/>
      <x:c r="M191" s="176"/>
      <x:c r="N191" s="176"/>
      <x:c r="O191" s="176"/>
      <x:c r="P191" s="176"/>
      <x:c r="Q191" s="176"/>
      <x:c r="R191" s="176"/>
      <x:c r="S191" s="176"/>
      <x:c r="T191" s="176"/>
      <x:c r="U191" s="176"/>
      <x:c r="V191" s="176"/>
      <x:c r="W191" s="176"/>
      <x:c r="X191" s="176"/>
    </x:row>
    <x:row r="192">
      <x:c r="A192" s="176"/>
      <x:c r="B192" s="176"/>
      <x:c r="C192" s="176"/>
      <x:c r="D192" s="176"/>
      <x:c r="E192" s="176"/>
      <x:c r="F192" s="176"/>
      <x:c r="G192" s="176"/>
      <x:c r="H192" s="176"/>
      <x:c r="I192" s="176"/>
      <x:c r="J192" s="176"/>
      <x:c r="K192" s="176"/>
      <x:c r="L192" s="176"/>
      <x:c r="M192" s="176"/>
      <x:c r="N192" s="176"/>
      <x:c r="O192" s="176"/>
      <x:c r="P192" s="176"/>
      <x:c r="Q192" s="176"/>
      <x:c r="R192" s="176"/>
      <x:c r="S192" s="176"/>
      <x:c r="T192" s="176"/>
      <x:c r="U192" s="176"/>
      <x:c r="V192" s="176"/>
      <x:c r="W192" s="176"/>
      <x:c r="X192" s="176"/>
    </x:row>
    <x:row r="193">
      <x:c r="A193" s="176"/>
      <x:c r="B193" s="176"/>
      <x:c r="C193" s="176"/>
      <x:c r="D193" s="176"/>
      <x:c r="E193" s="176"/>
      <x:c r="F193" s="176"/>
      <x:c r="G193" s="176"/>
      <x:c r="H193" s="176"/>
      <x:c r="I193" s="176"/>
      <x:c r="J193" s="176"/>
      <x:c r="K193" s="176"/>
      <x:c r="L193" s="176"/>
      <x:c r="M193" s="176"/>
      <x:c r="N193" s="176"/>
      <x:c r="O193" s="176"/>
      <x:c r="P193" s="176"/>
      <x:c r="Q193" s="176"/>
      <x:c r="R193" s="176"/>
      <x:c r="S193" s="176"/>
      <x:c r="T193" s="176"/>
      <x:c r="U193" s="176"/>
      <x:c r="V193" s="176"/>
      <x:c r="W193" s="176"/>
      <x:c r="X193" s="176"/>
    </x:row>
    <x:row r="194">
      <x:c r="A194" s="176"/>
      <x:c r="B194" s="176"/>
      <x:c r="C194" s="176"/>
      <x:c r="D194" s="176"/>
      <x:c r="E194" s="176"/>
      <x:c r="F194" s="176"/>
      <x:c r="G194" s="176"/>
      <x:c r="H194" s="176"/>
      <x:c r="I194" s="176"/>
      <x:c r="J194" s="176"/>
      <x:c r="K194" s="176"/>
      <x:c r="L194" s="176"/>
      <x:c r="M194" s="176"/>
      <x:c r="N194" s="176"/>
      <x:c r="O194" s="176"/>
      <x:c r="P194" s="176"/>
      <x:c r="Q194" s="176"/>
      <x:c r="R194" s="176"/>
      <x:c r="S194" s="176"/>
      <x:c r="T194" s="176"/>
      <x:c r="U194" s="176"/>
      <x:c r="V194" s="176"/>
      <x:c r="W194" s="176"/>
      <x:c r="X194" s="176"/>
    </x:row>
    <x:row r="195">
      <x:c r="A195" s="176"/>
      <x:c r="B195" s="176"/>
      <x:c r="C195" s="176"/>
      <x:c r="D195" s="176"/>
      <x:c r="E195" s="176"/>
      <x:c r="F195" s="176"/>
      <x:c r="G195" s="176"/>
      <x:c r="H195" s="176"/>
      <x:c r="I195" s="176"/>
      <x:c r="J195" s="176"/>
      <x:c r="K195" s="176"/>
      <x:c r="L195" s="176"/>
      <x:c r="M195" s="176"/>
      <x:c r="N195" s="176"/>
      <x:c r="O195" s="176"/>
      <x:c r="P195" s="176"/>
      <x:c r="Q195" s="176"/>
      <x:c r="R195" s="176"/>
      <x:c r="S195" s="176"/>
      <x:c r="T195" s="176"/>
      <x:c r="U195" s="176"/>
      <x:c r="V195" s="176"/>
      <x:c r="W195" s="176"/>
      <x:c r="X195" s="176"/>
    </x:row>
    <x:row r="196">
      <x:c r="A196" s="176"/>
      <x:c r="B196" s="176"/>
      <x:c r="C196" s="176"/>
      <x:c r="D196" s="176"/>
      <x:c r="E196" s="176"/>
      <x:c r="F196" s="176"/>
      <x:c r="G196" s="176"/>
      <x:c r="H196" s="176"/>
      <x:c r="I196" s="176"/>
      <x:c r="J196" s="176"/>
      <x:c r="K196" s="176"/>
      <x:c r="L196" s="176"/>
      <x:c r="M196" s="176"/>
      <x:c r="N196" s="176"/>
      <x:c r="O196" s="176"/>
      <x:c r="P196" s="176"/>
      <x:c r="Q196" s="176"/>
      <x:c r="R196" s="176"/>
      <x:c r="S196" s="176"/>
      <x:c r="T196" s="176"/>
      <x:c r="U196" s="176"/>
      <x:c r="V196" s="176"/>
      <x:c r="W196" s="176"/>
      <x:c r="X196" s="176"/>
    </x:row>
    <x:row r="197">
      <x:c r="A197" s="176"/>
      <x:c r="B197" s="176"/>
      <x:c r="C197" s="176"/>
      <x:c r="D197" s="176"/>
      <x:c r="E197" s="176"/>
      <x:c r="F197" s="176"/>
      <x:c r="G197" s="176"/>
      <x:c r="H197" s="176"/>
      <x:c r="I197" s="176"/>
      <x:c r="J197" s="176"/>
      <x:c r="K197" s="176"/>
      <x:c r="L197" s="176"/>
      <x:c r="M197" s="176"/>
      <x:c r="N197" s="176"/>
      <x:c r="O197" s="176"/>
      <x:c r="P197" s="176"/>
      <x:c r="Q197" s="176"/>
      <x:c r="R197" s="176"/>
      <x:c r="S197" s="176"/>
      <x:c r="T197" s="176"/>
      <x:c r="U197" s="176"/>
      <x:c r="V197" s="176"/>
      <x:c r="W197" s="176"/>
      <x:c r="X197" s="176"/>
    </x:row>
    <x:row r="198">
      <x:c r="A198" s="176"/>
      <x:c r="B198" s="176"/>
      <x:c r="C198" s="176"/>
      <x:c r="D198" s="176"/>
      <x:c r="E198" s="176"/>
      <x:c r="F198" s="176"/>
      <x:c r="G198" s="176"/>
      <x:c r="H198" s="176"/>
      <x:c r="I198" s="176"/>
      <x:c r="J198" s="176"/>
      <x:c r="K198" s="176"/>
      <x:c r="L198" s="176"/>
      <x:c r="M198" s="176"/>
      <x:c r="N198" s="176"/>
      <x:c r="O198" s="176"/>
      <x:c r="P198" s="176"/>
      <x:c r="Q198" s="176"/>
      <x:c r="R198" s="176"/>
      <x:c r="S198" s="176"/>
      <x:c r="T198" s="176"/>
      <x:c r="U198" s="176"/>
      <x:c r="V198" s="176"/>
      <x:c r="W198" s="176"/>
      <x:c r="X198" s="176"/>
    </x:row>
    <x:row r="199">
      <x:c r="A199" s="176"/>
      <x:c r="B199" s="176"/>
      <x:c r="C199" s="176"/>
      <x:c r="D199" s="176"/>
      <x:c r="E199" s="176"/>
      <x:c r="F199" s="176"/>
      <x:c r="G199" s="176"/>
      <x:c r="H199" s="176"/>
      <x:c r="I199" s="176"/>
      <x:c r="J199" s="176"/>
      <x:c r="K199" s="176"/>
      <x:c r="L199" s="176"/>
      <x:c r="M199" s="176"/>
      <x:c r="N199" s="176"/>
      <x:c r="O199" s="176"/>
      <x:c r="P199" s="176"/>
      <x:c r="Q199" s="176"/>
      <x:c r="R199" s="176"/>
      <x:c r="S199" s="176"/>
      <x:c r="T199" s="176"/>
      <x:c r="U199" s="176"/>
      <x:c r="V199" s="176"/>
      <x:c r="W199" s="176"/>
      <x:c r="X199" s="176"/>
    </x:row>
    <x:row r="200">
      <x:c r="A200" s="176"/>
      <x:c r="B200" s="176"/>
      <x:c r="C200" s="176"/>
      <x:c r="D200" s="176"/>
      <x:c r="E200" s="176"/>
      <x:c r="F200" s="176"/>
      <x:c r="G200" s="176"/>
      <x:c r="H200" s="176"/>
      <x:c r="I200" s="176"/>
      <x:c r="J200" s="176"/>
      <x:c r="K200" s="176"/>
      <x:c r="L200" s="176"/>
      <x:c r="M200" s="176"/>
      <x:c r="N200" s="176"/>
      <x:c r="O200" s="176"/>
      <x:c r="P200" s="176"/>
      <x:c r="Q200" s="176"/>
      <x:c r="R200" s="176"/>
      <x:c r="S200" s="176"/>
      <x:c r="T200" s="176"/>
      <x:c r="U200" s="176"/>
      <x:c r="V200" s="176"/>
      <x:c r="W200" s="176"/>
      <x:c r="X200" s="176"/>
    </x:row>
  </x:sheetData>
  <x:mergeCells>
    <x:mergeCell ref="A1:D1"/>
    <x:mergeCell ref="A9:D9"/>
  </x:mergeCells>
  <x:pageMargins left="0.7" right="0.7" top="0.75" bottom="0.75" header="0.3" footer="0.3"/>
</x:worksheet>
</file>