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bdcc6d154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41fc922481046bd"/>
    <x:sheet xmlns:r="http://schemas.openxmlformats.org/officeDocument/2006/relationships" name="Growth Rules" sheetId="2" r:id="Rbf48b1167f5c436c"/>
    <x:sheet xmlns:r="http://schemas.openxmlformats.org/officeDocument/2006/relationships" name="Full Dex + Growth" sheetId="3" r:id="Rb14c2168846b4c6c"/>
    <x:sheet xmlns:r="http://schemas.openxmlformats.org/officeDocument/2006/relationships" name="Evolution Validation" sheetId="4" r:id="Rc6ae1952acb0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&quot;%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43B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627D98"/>
      </x:patternFill>
    </x:fill>
    <x:fill>
      <x:patternFill patternType="solid">
        <x:fgColor rgb="FF486581"/>
      </x:patternFill>
    </x:fill>
    <x:fill>
      <x:patternFill patternType="solid">
        <x:fgColor rgb="FFE6EEF5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7C2D12"/>
      </x:font>
      <x:fill>
        <x:patternFill patternType="solid">
          <x:bgColor rgb="FFFDE68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C2D12"/>
      </x:font>
      <x:fill>
        <x:patternFill patternType="solid">
          <x:bgColor rgb="FFFDE68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ed8bf7b1b4774" /><Relationship Type="http://schemas.openxmlformats.org/officeDocument/2006/relationships/theme" Target="/xl/theme/theme1.xml" Id="Ra99d32cdc0a54e36" /><Relationship Type="http://schemas.openxmlformats.org/officeDocument/2006/relationships/sharedStrings" Target="/xl/sharedStrings.xml" Id="R5f5c40d41f8a489e" /><Relationship Type="http://schemas.openxmlformats.org/officeDocument/2006/relationships/worksheet" Target="/xl/worksheets/sheet1.xml" Id="R541fc922481046bd" /><Relationship Type="http://schemas.openxmlformats.org/officeDocument/2006/relationships/worksheet" Target="/xl/worksheets/sheet2.xml" Id="Rbf48b1167f5c436c" /><Relationship Type="http://schemas.openxmlformats.org/officeDocument/2006/relationships/worksheet" Target="/xl/worksheets/sheet3.xml" Id="Rb14c2168846b4c6c" /><Relationship Type="http://schemas.openxmlformats.org/officeDocument/2006/relationships/worksheet" Target="/xl/worksheets/sheet4.xml" Id="Rc6ae1952acb0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07fce9541547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evolution thresholds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Paths</c:v>
          </c:tx>
          <c:cat>
            <c:strRef>
              <c:f>'Read Me'!$J$4:$J$18</c:f>
              <c:strCache>
                <c:ptCount val="0"/>
              </c:strCache>
            </c:strRef>
          </c:cat>
          <c:val>
            <c:numRef>
              <c:f>'Read Me'!$K$4:$K$18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07fce9541547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xGrowthTable" displayName="DexGrowthTable" ref="A3:Y190" headerRowCount="1" totalsRowCount="0" totalsRowShown="0">
  <x:tableColumns count="25">
    <x:tableColumn id="1" name="Dex #"/>
    <x:tableColumn id="2" name="Monster"/>
    <x:tableColumn id="3" name="Type 1"/>
    <x:tableColumn id="4" name="Type 2"/>
    <x:tableColumn id="5" name="HP"/>
    <x:tableColumn id="6" name="Attack"/>
    <x:tableColumn id="7" name="Defense"/>
    <x:tableColumn id="8" name="Sp. Atk"/>
    <x:tableColumn id="9" name="Sp. Def"/>
    <x:tableColumn id="10" name="Speed"/>
    <x:tableColumn id="11" name="BST"/>
    <x:tableColumn id="12" name="HP Growth %"/>
    <x:tableColumn id="13" name="Atk Growth %"/>
    <x:tableColumn id="14" name="Def Growth %"/>
    <x:tableColumn id="15" name="SpA Growth %"/>
    <x:tableColumn id="16" name="SpD Growth %"/>
    <x:tableColumn id="17" name="Spe Growth %"/>
    <x:tableColumn id="18" name="Expected Growths / Level"/>
    <x:tableColumn id="19" name="Evolves To"/>
    <x:tableColumn id="20" name="Method"/>
    <x:tableColumn id="21" name="Existing Level / Min"/>
    <x:tableColumn id="22" name="Item / Flag"/>
    <x:tableColumn id="23" name="Validated Level / Min"/>
    <x:tableColumn id="24" name="Timing Status"/>
    <x:tableColumn id="2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lutionValidationTable" displayName="EvolutionValidationTable" ref="A3:V101" headerRowCount="1" totalsRowCount="0" totalsRowShown="0">
  <x:tableColumns count="22">
    <x:tableColumn id="1" name="Path #"/>
    <x:tableColumn id="2" name="Source Dex"/>
    <x:tableColumn id="3" name="Source"/>
    <x:tableColumn id="4" name="Target Dex"/>
    <x:tableColumn id="5" name="Target"/>
    <x:tableColumn id="6" name="Method"/>
    <x:tableColumn id="7" name="Existing Level / Min"/>
    <x:tableColumn id="8" name="Item / Story Flag"/>
    <x:tableColumn id="9" name="Source BST"/>
    <x:tableColumn id="10" name="Target BST"/>
    <x:tableColumn id="11" name="BST Jump"/>
    <x:tableColumn id="12" name="Source Growth Budget"/>
    <x:tableColumn id="13" name="Target Growth Budget"/>
    <x:tableColumn id="14" name="Δ Growth / Level"/>
    <x:tableColumn id="15" name="+4 Level Delay Cost"/>
    <x:tableColumn id="16" name="+10 Level Delay Cost"/>
    <x:tableColumn id="17" name="Delay Sensitivity"/>
    <x:tableColumn id="18" name="Validated Level / Min"/>
    <x:tableColumn id="19" name="Verdict"/>
    <x:tableColumn id="20" name="Mechanical Finding"/>
    <x:tableColumn id="21" name="Promotion Rule"/>
    <x:tableColumn id="22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040627c3c04d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3d6d96669744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f9ab71fe19945a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4" hidden="0" customWidth="1"/>
    <x:col min="4" max="4" width="30" hidden="0" customWidth="1"/>
    <x:col min="5" max="5" width="18" hidden="0" customWidth="1"/>
    <x:col min="6" max="6" width="4" hidden="0" customWidth="1"/>
    <x:col min="7" max="7" width="4" hidden="0" customWidth="1"/>
    <x:col min="8" max="8" width="4" hidden="0" customWidth="1"/>
    <x:col min="10" max="10" width="20" hidden="0" customWidth="1"/>
    <x:col min="11" max="11" width="12" hidden="0" customWidth="1"/>
  </x:cols>
  <x:sheetData>
    <x:row r="1" ht="30" customHeight="1">
      <x:c r="A1" s="44" t="str">
        <x:v>REGIONAL DEX — GROWTH &amp; EVOLUTION INTEGRATION v4</x:v>
      </x:c>
      <x:c r="B1" s="44"/>
      <x:c r="C1" s="44"/>
      <x:c r="D1" s="44"/>
      <x:c r="E1" s="44"/>
      <x:c r="F1" s="44"/>
      <x:c r="G1" s="44"/>
      <x:c r="H1" s="44"/>
      <x:c r="I1" s="45"/>
      <x:c r="J1" s="45"/>
      <x:c r="K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46" t="str">
        <x:v>KPI</x:v>
      </x:c>
      <x:c r="B3" s="46" t="str">
        <x:v>Value</x:v>
      </x:c>
      <x:c r="C3" s="45"/>
      <x:c r="D3" s="46" t="str">
        <x:v>Validation</x:v>
      </x:c>
      <x:c r="E3" s="46" t="str">
        <x:v>Result</x:v>
      </x:c>
      <x:c r="F3" s="45"/>
      <x:c r="G3" s="45"/>
      <x:c r="H3" s="45"/>
      <x:c r="I3" s="45"/>
      <x:c r="J3" s="47" t="str">
        <x:v>Evolution threshold</x:v>
      </x:c>
      <x:c r="K3" s="47" t="str">
        <x:v>Paths</x:v>
      </x:c>
    </x:row>
    <x:row r="4">
      <x:c r="A4" s="48" t="str">
        <x:v>Species</x:v>
      </x:c>
      <x:c r="B4" s="45" t="n">
        <x:v>187</x:v>
      </x:c>
      <x:c r="C4" s="45"/>
      <x:c r="D4" s="48" t="str">
        <x:v>Checklist 01</x:v>
      </x:c>
      <x:c r="E4" s="45" t="str">
        <x:v>COMPLETE / LOCKED</x:v>
      </x:c>
      <x:c r="F4" s="45"/>
      <x:c r="G4" s="45"/>
      <x:c r="H4" s="45"/>
      <x:c r="I4" s="45"/>
      <x:c r="J4" s="45" t="n">
        <x:v>16</x:v>
      </x:c>
      <x:c r="K4" s="45" t="n">
        <x:v>3</x:v>
      </x:c>
    </x:row>
    <x:row r="5">
      <x:c r="A5" s="48" t="str">
        <x:v>Canonical evolution paths</x:v>
      </x:c>
      <x:c r="B5" s="45" t="n">
        <x:v>98</x:v>
      </x:c>
      <x:c r="C5" s="45"/>
      <x:c r="D5" s="48" t="str">
        <x:v>Evolution timing paths retained</x:v>
      </x:c>
      <x:c r="E5" s="45" t="n">
        <x:v>98</x:v>
      </x:c>
      <x:c r="F5" s="45"/>
      <x:c r="G5" s="45"/>
      <x:c r="H5" s="45"/>
      <x:c r="I5" s="45"/>
      <x:c r="J5" s="45" t="n">
        <x:v>20</x:v>
      </x:c>
      <x:c r="K5" s="45" t="n">
        <x:v>4</x:v>
      </x:c>
    </x:row>
    <x:row r="6">
      <x:c r="A6" s="48" t="str">
        <x:v>Level-based paths</x:v>
      </x:c>
      <x:c r="B6" s="45" t="n">
        <x:v>75</x:v>
      </x:c>
      <x:c r="C6" s="45"/>
      <x:c r="D6" s="48" t="str">
        <x:v>Targets with higher growth budget</x:v>
      </x:c>
      <x:c r="E6" s="45" t="n">
        <x:v>98</x:v>
      </x:c>
      <x:c r="F6" s="45"/>
      <x:c r="G6" s="45"/>
      <x:c r="H6" s="45"/>
      <x:c r="I6" s="45"/>
      <x:c r="J6" s="45" t="n">
        <x:v>22</x:v>
      </x:c>
      <x:c r="K6" s="45" t="n">
        <x:v>1</x:v>
      </x:c>
    </x:row>
    <x:row r="7">
      <x:c r="A7" s="48" t="str">
        <x:v>Item-based paths</x:v>
      </x:c>
      <x:c r="B7" s="45" t="n">
        <x:v>15</x:v>
      </x:c>
      <x:c r="C7" s="45"/>
      <x:c r="D7" s="48" t="str">
        <x:v>Paths helped by delaying evolution</x:v>
      </x:c>
      <x:c r="E7" s="45" t="n">
        <x:v>0</x:v>
      </x:c>
      <x:c r="F7" s="45"/>
      <x:c r="G7" s="45"/>
      <x:c r="H7" s="45"/>
      <x:c r="I7" s="45"/>
      <x:c r="J7" s="45" t="n">
        <x:v>24</x:v>
      </x:c>
      <x:c r="K7" s="45" t="n">
        <x:v>2</x:v>
      </x:c>
    </x:row>
    <x:row r="8">
      <x:c r="A8" s="48" t="str">
        <x:v>Story-choice paths</x:v>
      </x:c>
      <x:c r="B8" s="45" t="n">
        <x:v>8</x:v>
      </x:c>
      <x:c r="C8" s="45"/>
      <x:c r="D8" s="48" t="str">
        <x:v>Minimum target growth advantage</x:v>
      </x:c>
      <x:c r="E8" s="49" t="n">
        <x:v>0.2999999999999998</x:v>
      </x:c>
      <x:c r="F8" s="45"/>
      <x:c r="G8" s="45"/>
      <x:c r="H8" s="45"/>
      <x:c r="I8" s="45"/>
      <x:c r="J8" s="45" t="n">
        <x:v>26</x:v>
      </x:c>
      <x:c r="K8" s="45" t="n">
        <x:v>42</x:v>
      </x:c>
    </x:row>
    <x:row r="9">
      <x:c r="A9" s="48" t="str">
        <x:v>Hard level cap</x:v>
      </x:c>
      <x:c r="B9" s="45" t="n">
        <x:v>200</x:v>
      </x:c>
      <x:c r="C9" s="45"/>
      <x:c r="D9" s="48" t="str">
        <x:v>Maximum target growth advantage</x:v>
      </x:c>
      <x:c r="E9" s="49" t="n">
        <x:v>1.2999999999999998</x:v>
      </x:c>
      <x:c r="F9" s="45"/>
      <x:c r="G9" s="45"/>
      <x:c r="H9" s="45"/>
      <x:c r="I9" s="45"/>
      <x:c r="J9" s="45" t="n">
        <x:v>28</x:v>
      </x:c>
      <x:c r="K9" s="45" t="n">
        <x:v>12</x:v>
      </x:c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 t="n">
        <x:v>30</x:v>
      </x:c>
      <x:c r="K10" s="45" t="n">
        <x:v>16</x:v>
      </x:c>
    </x:row>
    <x:row r="11">
      <x:c r="A11" s="50" t="str">
        <x:v>What this workbook locks in</x:v>
      </x:c>
      <x:c r="B11" s="50"/>
      <x:c r="C11" s="50"/>
      <x:c r="D11" s="50"/>
      <x:c r="E11" s="50"/>
      <x:c r="F11" s="50"/>
      <x:c r="G11" s="50"/>
      <x:c r="H11" s="50"/>
      <x:c r="I11" s="45"/>
      <x:c r="J11" s="45" t="n">
        <x:v>32</x:v>
      </x:c>
      <x:c r="K11" s="45" t="n">
        <x:v>2</x:v>
      </x:c>
    </x:row>
    <x:row r="12">
      <x:c r="A12" s="48" t="str">
        <x:v>1</x:v>
      </x:c>
      <x:c r="B12" s="51" t="str">
        <x:v>All 187 species use the current exact base-stat/type data from Regional_Dex_Stats_and_Abilities_COMPLETE_v2.xlsx.</x:v>
      </x:c>
      <x:c r="C12" s="45"/>
      <x:c r="D12" s="45"/>
      <x:c r="E12" s="45"/>
      <x:c r="F12" s="45"/>
      <x:c r="G12" s="45"/>
      <x:c r="H12" s="45"/>
      <x:c r="I12" s="45"/>
      <x:c r="J12" s="45" t="n">
        <x:v>36</x:v>
      </x:c>
      <x:c r="K12" s="45" t="n">
        <x:v>3</x:v>
      </x:c>
    </x:row>
    <x:row r="13">
      <x:c r="A13" s="48" t="str">
        <x:v>2</x:v>
      </x:c>
      <x:c r="B13" s="51" t="str">
        <x:v>Six formula-driven growth percentages are integrated for HP, Attack, Defense, Sp. Atk, Sp. Def and Speed.</x:v>
      </x:c>
      <x:c r="C13" s="45"/>
      <x:c r="D13" s="45"/>
      <x:c r="E13" s="45"/>
      <x:c r="F13" s="45"/>
      <x:c r="G13" s="45"/>
      <x:c r="H13" s="45"/>
      <x:c r="I13" s="45"/>
      <x:c r="J13" s="45" t="n">
        <x:v>38</x:v>
      </x:c>
      <x:c r="K13" s="45" t="n">
        <x:v>4</x:v>
      </x:c>
    </x:row>
    <x:row r="14">
      <x:c r="A14" s="48" t="str">
        <x:v>3</x:v>
      </x:c>
      <x:c r="B14" s="51" t="str">
        <x:v>Growth above 100% is preserved and represents exceptional growth; HP gains +10 per successful HP growth roll.</x:v>
      </x:c>
      <x:c r="C14" s="45"/>
      <x:c r="D14" s="45"/>
      <x:c r="E14" s="45"/>
      <x:c r="F14" s="45"/>
      <x:c r="G14" s="45"/>
      <x:c r="H14" s="45"/>
      <x:c r="I14" s="45"/>
      <x:c r="J14" s="45" t="n">
        <x:v>40</x:v>
      </x:c>
      <x:c r="K14" s="45" t="n">
        <x:v>3</x:v>
      </x:c>
    </x:row>
    <x:row r="15">
      <x:c r="A15" s="48" t="str">
        <x:v>4</x:v>
      </x:c>
      <x:c r="B15" s="51" t="str">
        <x:v>All 98 existing evolution thresholds/minimums are retained after simulation: every target form has a higher expected total growth budget than its source form.</x:v>
      </x:c>
      <x:c r="C15" s="45"/>
      <x:c r="D15" s="45"/>
      <x:c r="E15" s="45"/>
      <x:c r="F15" s="45"/>
      <x:c r="G15" s="45"/>
      <x:c r="H15" s="45"/>
      <x:c r="I15" s="45"/>
      <x:c r="J15" s="45" t="n">
        <x:v>42</x:v>
      </x:c>
      <x:c r="K15" s="45" t="n">
        <x:v>2</x:v>
      </x:c>
    </x:row>
    <x:row r="16">
      <x:c r="A16" s="48" t="str">
        <x:v>5</x:v>
      </x:c>
      <x:c r="B16" s="51" t="str">
        <x:v>Delaying an available evolution therefore permanently gives up expected stat growth; the Level 200 cap is not a reason to double evolution thresholds.</x:v>
      </x:c>
      <x:c r="C16" s="45"/>
      <x:c r="D16" s="45"/>
      <x:c r="E16" s="45"/>
      <x:c r="F16" s="45"/>
      <x:c r="G16" s="45"/>
      <x:c r="H16" s="45"/>
      <x:c r="I16" s="45"/>
      <x:c r="J16" s="45" t="n">
        <x:v>45</x:v>
      </x:c>
      <x:c r="K16" s="45" t="n">
        <x:v>1</x:v>
      </x:c>
    </x:row>
    <x:row r="17">
      <x:c r="A17" s="48" t="str">
        <x:v>6</x:v>
      </x:c>
      <x:c r="B17" s="51" t="str">
        <x:v>Where older progression typing conflicts with the current complete Dex, the complete Dex type is authoritative.</x:v>
      </x:c>
      <x:c r="C17" s="45"/>
      <x:c r="D17" s="45"/>
      <x:c r="E17" s="45"/>
      <x:c r="F17" s="45"/>
      <x:c r="G17" s="45"/>
      <x:c r="H17" s="45"/>
      <x:c r="I17" s="45"/>
      <x:c r="J17" s="45" t="n">
        <x:v>48</x:v>
      </x:c>
      <x:c r="K17" s="45" t="n">
        <x:v>1</x:v>
      </x:c>
    </x:row>
    <x:row r="18">
      <x:c r="A18" s="48" t="str">
        <x:v>7</x:v>
      </x:c>
      <x:c r="B18" s="51" t="str">
        <x:v>This is a consolidated derivative workbook; the File Library source workbooks were not overwritten in place.</x:v>
      </x:c>
      <x:c r="C18" s="45"/>
      <x:c r="D18" s="45"/>
      <x:c r="E18" s="45"/>
      <x:c r="F18" s="45"/>
      <x:c r="G18" s="45"/>
      <x:c r="H18" s="45"/>
      <x:c r="I18" s="45"/>
      <x:c r="J18" s="45" t="n">
        <x:v>50</x:v>
      </x:c>
      <x:c r="K18" s="45" t="n">
        <x:v>2</x:v>
      </x:c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</x:row>
    <x:row r="21">
      <x:c r="A21" s="50" t="str">
        <x:v>Locked stat-growth formula</x:v>
      </x:c>
      <x:c r="B21" s="50"/>
      <x:c r="C21" s="50"/>
      <x:c r="D21" s="50"/>
      <x:c r="E21" s="50"/>
      <x:c r="F21" s="50"/>
      <x:c r="G21" s="50"/>
      <x:c r="H21" s="50"/>
      <x:c r="I21" s="45"/>
      <x:c r="J21" s="45"/>
      <x:c r="K21" s="45"/>
    </x:row>
    <x:row r="22">
      <x:c r="A22" s="48" t="str">
        <x:v>Mean Growth</x:v>
      </x:c>
      <x:c r="B22" s="51" t="str">
        <x:v>32 + 0.06 × (BST − 300)</x:v>
      </x:c>
      <x:c r="C22" s="45"/>
      <x:c r="D22" s="45"/>
      <x:c r="E22" s="45"/>
      <x:c r="F22" s="45"/>
      <x:c r="G22" s="45"/>
      <x:c r="H22" s="45"/>
      <x:c r="I22" s="45"/>
      <x:c r="J22" s="45"/>
      <x:c r="K22" s="45"/>
    </x:row>
    <x:row r="23">
      <x:c r="A23" s="48" t="str">
        <x:v>Mean Stat</x:v>
      </x:c>
      <x:c r="B23" s="51" t="str">
        <x:v>BST ÷ 6</x:v>
      </x:c>
      <x:c r="C23" s="45"/>
      <x:c r="D23" s="45"/>
      <x:c r="E23" s="45"/>
      <x:c r="F23" s="45"/>
      <x:c r="G23" s="45"/>
      <x:c r="H23" s="45"/>
      <x:c r="I23" s="45"/>
      <x:c r="J23" s="45"/>
      <x:c r="K23" s="45"/>
    </x:row>
    <x:row r="24">
      <x:c r="A24" s="48" t="str">
        <x:v>Growth %</x:v>
      </x:c>
      <x:c r="B24" s="51" t="str">
        <x:v>MAX(10, ROUND(Mean Growth × (Base Stat ÷ Mean Stat)^2.25))</x:v>
      </x:c>
      <x:c r="C24" s="45"/>
      <x:c r="D24" s="45"/>
      <x:c r="E24" s="45"/>
      <x:c r="F24" s="45"/>
      <x:c r="G24" s="45"/>
      <x:c r="H24" s="45"/>
      <x:c r="I24" s="45"/>
      <x:c r="J24" s="45"/>
      <x:c r="K24" s="45"/>
    </x:row>
    <x:row r="25">
      <x:c r="A25" s="48" t="str">
        <x:v>Exceptional growth</x:v>
      </x:c>
      <x:c r="B25" s="51" t="str">
        <x:v>100%+ guarantees the first increment; excess percentage is the chance of a second increment.</x:v>
      </x:c>
      <x:c r="C25" s="45"/>
      <x:c r="D25" s="45"/>
      <x:c r="E25" s="45"/>
      <x:c r="F25" s="45"/>
      <x:c r="G25" s="45"/>
      <x:c r="H25" s="45"/>
      <x:c r="I25" s="45"/>
      <x:c r="J25" s="45"/>
      <x:c r="K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</x:row>
  </x:sheetData>
  <x:mergeCells>
    <x:mergeCell ref="A1:H1"/>
    <x:mergeCell ref="A11:H11"/>
    <x:mergeCell ref="A21:H21"/>
  </x:mergeCells>
  <x:pageMargins left="0.7" right="0.7" top="0.75" bottom="0.75" header="0.3" footer="0.3"/>
  <x:drawing xmlns:r="http://schemas.openxmlformats.org/officeDocument/2006/relationships" r:id="R97040627c3c04daf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12" hidden="0" customWidth="1"/>
    <x:col min="4" max="4" width="12" hidden="0" customWidth="1"/>
  </x:cols>
  <x:sheetData>
    <x:row r="1" ht="28" customHeight="1">
      <x:c r="A1" s="44" t="str">
        <x:v>LOCKED STAT GROWTH RULES — CHECKLIST 01</x:v>
      </x:c>
      <x:c r="B1" s="44"/>
      <x:c r="C1" s="44"/>
      <x:c r="D1" s="44"/>
    </x:row>
    <x:row r="2">
      <x:c r="A2" s="45"/>
      <x:c r="B2" s="45"/>
      <x:c r="C2" s="45"/>
      <x:c r="D2" s="45"/>
    </x:row>
    <x:row r="3">
      <x:c r="A3" s="46" t="str">
        <x:v>Parameter</x:v>
      </x:c>
      <x:c r="B3" s="46" t="str">
        <x:v>Locked value</x:v>
      </x:c>
      <x:c r="C3" s="45"/>
      <x:c r="D3" s="45"/>
    </x:row>
    <x:row r="4">
      <x:c r="A4" s="48" t="str">
        <x:v>Mean Growth at 300 BST</x:v>
      </x:c>
      <x:c r="B4" s="45" t="n">
        <x:v>32</x:v>
      </x:c>
      <x:c r="C4" s="45"/>
      <x:c r="D4" s="45"/>
    </x:row>
    <x:row r="5">
      <x:c r="A5" s="48" t="str">
        <x:v>BST slope</x:v>
      </x:c>
      <x:c r="B5" s="45" t="n">
        <x:v>0.06</x:v>
      </x:c>
      <x:c r="C5" s="45"/>
      <x:c r="D5" s="45"/>
    </x:row>
    <x:row r="6">
      <x:c r="A6" s="48" t="str">
        <x:v>Reference BST</x:v>
      </x:c>
      <x:c r="B6" s="45" t="n">
        <x:v>300</x:v>
      </x:c>
      <x:c r="C6" s="45"/>
      <x:c r="D6" s="45"/>
    </x:row>
    <x:row r="7">
      <x:c r="A7" s="48" t="str">
        <x:v>Specialisation exponent</x:v>
      </x:c>
      <x:c r="B7" s="45" t="n">
        <x:v>2.25</x:v>
      </x:c>
      <x:c r="C7" s="45"/>
      <x:c r="D7" s="45"/>
    </x:row>
    <x:row r="8">
      <x:c r="A8" s="48" t="str">
        <x:v>Minimum growth %</x:v>
      </x:c>
      <x:c r="B8" s="45" t="n">
        <x:v>10</x:v>
      </x:c>
      <x:c r="C8" s="45"/>
      <x:c r="D8" s="45"/>
    </x:row>
    <x:row r="9">
      <x:c r="A9" s="48" t="str">
        <x:v>Hard level cap</x:v>
      </x:c>
      <x:c r="B9" s="45" t="n">
        <x:v>200</x:v>
      </x:c>
      <x:c r="C9" s="45"/>
      <x:c r="D9" s="45"/>
    </x:row>
    <x:row r="10">
      <x:c r="A10" s="48" t="str">
        <x:v>HP gained per successful HP growth</x:v>
      </x:c>
      <x:c r="B10" s="45" t="n">
        <x:v>10</x:v>
      </x:c>
      <x:c r="C10" s="45"/>
      <x:c r="D10" s="45"/>
    </x:row>
    <x:row r="11">
      <x:c r="A11" s="48" t="str">
        <x:v>Normal stat gained per successful growth</x:v>
      </x:c>
      <x:c r="B11" s="45" t="n">
        <x:v>1</x:v>
      </x:c>
      <x:c r="C11" s="45"/>
      <x:c r="D11" s="45"/>
    </x:row>
    <x:row r="12">
      <x:c r="A12" s="45"/>
      <x:c r="B12" s="45"/>
      <x:c r="C12" s="45"/>
      <x:c r="D12" s="45"/>
    </x:row>
    <x:row r="13">
      <x:c r="A13" s="50" t="str">
        <x:v>Implementation rules</x:v>
      </x:c>
      <x:c r="B13" s="50"/>
      <x:c r="C13" s="50"/>
      <x:c r="D13" s="50"/>
    </x:row>
    <x:row r="14">
      <x:c r="A14" s="48" t="str">
        <x:v>1</x:v>
      </x:c>
      <x:c r="B14" s="51" t="str">
        <x:v>Each level makes six independent growth rolls.</x:v>
      </x:c>
      <x:c r="C14" s="45"/>
      <x:c r="D14" s="45"/>
    </x:row>
    <x:row r="15">
      <x:c r="A15" s="48" t="str">
        <x:v>2</x:v>
      </x:c>
      <x:c r="B15" s="51" t="str">
        <x:v>HP success = +10 HP; exceptional second HP success makes +20 HP total for that level.</x:v>
      </x:c>
      <x:c r="C15" s="45"/>
      <x:c r="D15" s="45"/>
    </x:row>
    <x:row r="16">
      <x:c r="A16" s="48" t="str">
        <x:v>3</x:v>
      </x:c>
      <x:c r="B16" s="51" t="str">
        <x:v>Other stat success = +1; exceptional second success gives +2 total.</x:v>
      </x:c>
      <x:c r="C16" s="45"/>
      <x:c r="D16" s="45"/>
    </x:row>
    <x:row r="17">
      <x:c r="A17" s="48" t="str">
        <x:v>4</x:v>
      </x:c>
      <x:c r="B17" s="51" t="str">
        <x:v>Failed rolls add nothing. Zero-success and six-success level-ups are legal.</x:v>
      </x:c>
      <x:c r="C17" s="45"/>
      <x:c r="D17" s="45"/>
    </x:row>
    <x:row r="18">
      <x:c r="A18" s="48" t="str">
        <x:v>5</x:v>
      </x:c>
      <x:c r="B18" s="51" t="str">
        <x:v>There is no bad-luck protection.</x:v>
      </x:c>
      <x:c r="C18" s="45"/>
      <x:c r="D18" s="45"/>
    </x:row>
    <x:row r="19">
      <x:c r="A19" s="48" t="str">
        <x:v>6</x:v>
      </x:c>
      <x:c r="B19" s="51" t="str">
        <x:v>Each individual has an immutable deterministic Growth Seed.</x:v>
      </x:c>
      <x:c r="C19" s="45"/>
      <x:c r="D19" s="45"/>
    </x:row>
    <x:row r="20">
      <x:c r="A20" s="48" t="str">
        <x:v>7</x:v>
      </x:c>
      <x:c r="B20" s="51" t="str">
        <x:v>Reloading or action order cannot reroll growth history.</x:v>
      </x:c>
      <x:c r="C20" s="45"/>
      <x:c r="D20" s="45"/>
    </x:row>
    <x:row r="21">
      <x:c r="A21" s="48" t="str">
        <x:v>8</x:v>
      </x:c>
      <x:c r="B21" s="51" t="str">
        <x:v>Evolution adds fixed target-minus-source base-stat deltas once, then immediately uses evolved growth rates.</x:v>
      </x:c>
      <x:c r="C21" s="45"/>
      <x:c r="D21" s="45"/>
    </x:row>
    <x:row r="22">
      <x:c r="A22" s="48" t="str">
        <x:v>9</x:v>
      </x:c>
      <x:c r="B22" s="51" t="str">
        <x:v>Higher-level generated monsters simulate all prior growth from their fixed seed.</x:v>
      </x:c>
      <x:c r="C22" s="45"/>
      <x:c r="D22" s="45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12" hidden="0" customWidth="1"/>
    <x:col min="5" max="5" width="8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8" hidden="0" customWidth="1"/>
    <x:col min="11" max="11" width="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7" hidden="0" customWidth="1"/>
    <x:col min="19" max="19" width="27" hidden="0" customWidth="1"/>
    <x:col min="20" max="20" width="17" hidden="0" customWidth="1"/>
    <x:col min="21" max="21" width="17" hidden="0" customWidth="1"/>
    <x:col min="22" max="22" width="24" hidden="0" customWidth="1"/>
    <x:col min="23" max="23" width="18" hidden="0" customWidth="1"/>
    <x:col min="24" max="24" width="25" hidden="0" customWidth="1"/>
    <x:col min="25" max="25" width="42" hidden="0" customWidth="1"/>
  </x:cols>
  <x:sheetData>
    <x:row r="1" ht="30" customHeight="1">
      <x:c r="A1" s="5" t="str">
        <x:v>REGIONAL DEX — EXACT BST + LOCKED GROWTH % + VALIDATED EVOLUTION TIMING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3" ht="40" customHeight="1">
      <x:c r="A3" s="14" t="str">
        <x:v>Dex #</x:v>
      </x:c>
      <x:c r="B3" s="14" t="str">
        <x:v>Monster</x:v>
      </x:c>
      <x:c r="C3" s="14" t="str">
        <x:v>Type 1</x:v>
      </x:c>
      <x:c r="D3" s="14" t="str">
        <x:v>Type 2</x:v>
      </x:c>
      <x:c r="E3" s="14" t="str">
        <x:v>HP</x:v>
      </x:c>
      <x:c r="F3" s="14" t="str">
        <x:v>Attack</x:v>
      </x:c>
      <x:c r="G3" s="14" t="str">
        <x:v>Defense</x:v>
      </x:c>
      <x:c r="H3" s="14" t="str">
        <x:v>Sp. Atk</x:v>
      </x:c>
      <x:c r="I3" s="14" t="str">
        <x:v>Sp. Def</x:v>
      </x:c>
      <x:c r="J3" s="14" t="str">
        <x:v>Speed</x:v>
      </x:c>
      <x:c r="K3" s="14" t="str">
        <x:v>BST</x:v>
      </x:c>
      <x:c r="L3" s="14" t="str">
        <x:v>HP Growth %</x:v>
      </x:c>
      <x:c r="M3" s="14" t="str">
        <x:v>Atk Growth %</x:v>
      </x:c>
      <x:c r="N3" s="14" t="str">
        <x:v>Def Growth %</x:v>
      </x:c>
      <x:c r="O3" s="14" t="str">
        <x:v>SpA Growth %</x:v>
      </x:c>
      <x:c r="P3" s="14" t="str">
        <x:v>SpD Growth %</x:v>
      </x:c>
      <x:c r="Q3" s="14" t="str">
        <x:v>Spe Growth %</x:v>
      </x:c>
      <x:c r="R3" s="14" t="str">
        <x:v>Expected Growths / Level</x:v>
      </x:c>
      <x:c r="S3" s="14" t="str">
        <x:v>Evolves To</x:v>
      </x:c>
      <x:c r="T3" s="14" t="str">
        <x:v>Method</x:v>
      </x:c>
      <x:c r="U3" s="14" t="str">
        <x:v>Existing Level / Min</x:v>
      </x:c>
      <x:c r="V3" s="14" t="str">
        <x:v>Item / Flag</x:v>
      </x:c>
      <x:c r="W3" s="14" t="str">
        <x:v>Validated Level / Min</x:v>
      </x:c>
      <x:c r="X3" s="14" t="str">
        <x:v>Timing Status</x:v>
      </x:c>
      <x:c r="Y3" s="14" t="str">
        <x:v>Source</x:v>
      </x:c>
    </x:row>
    <x:row r="4">
      <x:c r="A4" s="60" t="n">
        <x:v>1</x:v>
      </x:c>
      <x:c r="B4" s="62" t="str">
        <x:v>Scarimp</x:v>
      </x:c>
      <x:c r="C4" s="62" t="str">
        <x:v>Dark</x:v>
      </x:c>
      <x:c r="D4" s="62" t="str"/>
      <x:c r="E4" s="60" t="n">
        <x:v>50</x:v>
      </x:c>
      <x:c r="F4" s="60" t="n">
        <x:v>65</x:v>
      </x:c>
      <x:c r="G4" s="60" t="n">
        <x:v>30</x:v>
      </x:c>
      <x:c r="H4" s="60" t="n">
        <x:v>50</x:v>
      </x:c>
      <x:c r="I4" s="60" t="n">
        <x:v>50</x:v>
      </x:c>
      <x:c r="J4" s="60" t="n">
        <x:v>65</x:v>
      </x:c>
      <x:c r="K4" s="60" t="n">
        <x:v>310</x:v>
      </x:c>
      <x:c r="L4" s="64" t="n">
        <x:f>MAX('Growth Rules'!$B$8,ROUND(('Growth Rules'!$B$4+'Growth Rules'!$B$5*($K4-'Growth Rules'!$B$6))*(E4/($K4/6))^'Growth Rules'!$B$7,0))</x:f>
        <x:v>30</x:v>
      </x:c>
      <x:c r="M4" s="64" t="n">
        <x:f>MAX('Growth Rules'!$B$8,ROUND(('Growth Rules'!$B$4+'Growth Rules'!$B$5*($K4-'Growth Rules'!$B$6))*(F4/($K4/6))^'Growth Rules'!$B$7,0))</x:f>
        <x:v>55</x:v>
      </x:c>
      <x:c r="N4" s="64" t="n">
        <x:f>MAX('Growth Rules'!$B$8,ROUND(('Growth Rules'!$B$4+'Growth Rules'!$B$5*($K4-'Growth Rules'!$B$6))*(G4/($K4/6))^'Growth Rules'!$B$7,0))</x:f>
        <x:v>10</x:v>
      </x:c>
      <x:c r="O4" s="64" t="n">
        <x:f>MAX('Growth Rules'!$B$8,ROUND(('Growth Rules'!$B$4+'Growth Rules'!$B$5*($K4-'Growth Rules'!$B$6))*(H4/($K4/6))^'Growth Rules'!$B$7,0))</x:f>
        <x:v>30</x:v>
      </x:c>
      <x:c r="P4" s="64" t="n">
        <x:f>MAX('Growth Rules'!$B$8,ROUND(('Growth Rules'!$B$4+'Growth Rules'!$B$5*($K4-'Growth Rules'!$B$6))*(I4/($K4/6))^'Growth Rules'!$B$7,0))</x:f>
        <x:v>30</x:v>
      </x:c>
      <x:c r="Q4" s="64" t="n">
        <x:f>MAX('Growth Rules'!$B$8,ROUND(('Growth Rules'!$B$4+'Growth Rules'!$B$5*($K4-'Growth Rules'!$B$6))*(J4/($K4/6))^'Growth Rules'!$B$7,0))</x:f>
        <x:v>55</x:v>
      </x:c>
      <x:c r="R4" s="66" t="n">
        <x:f>SUM(L4:Q4)/100</x:f>
        <x:v>2.1</x:v>
      </x:c>
      <x:c r="S4" s="62" t="str">
        <x:v>Grimscar</x:v>
      </x:c>
      <x:c r="T4" s="62" t="str">
        <x:v>LEVEL</x:v>
      </x:c>
      <x:c r="U4" s="62" t="str">
        <x:v>16</x:v>
      </x:c>
      <x:c r="V4" s="62" t="str"/>
      <x:c r="W4" s="62" t="str">
        <x:v>16</x:v>
      </x:c>
      <x:c r="X4" s="62" t="str">
        <x:v>KEEP EXISTING / VALIDATED</x:v>
      </x:c>
      <x:c r="Y4" s="62" t="str">
        <x:v>Regional_Dex_Stats_and_Abilities_COMPLETE_v2.xlsx + Regional_Dex_Progression_Learnsets_v3.xlsx</x:v>
      </x:c>
    </x:row>
    <x:row r="5">
      <x:c r="A5" s="60" t="n">
        <x:v>2</x:v>
      </x:c>
      <x:c r="B5" s="62" t="str">
        <x:v>Grimscar</x:v>
      </x:c>
      <x:c r="C5" s="62" t="str">
        <x:v>Dark</x:v>
      </x:c>
      <x:c r="D5" s="62" t="str"/>
      <x:c r="E5" s="60" t="n">
        <x:v>65</x:v>
      </x:c>
      <x:c r="F5" s="60" t="n">
        <x:v>85</x:v>
      </x:c>
      <x:c r="G5" s="60" t="n">
        <x:v>50</x:v>
      </x:c>
      <x:c r="H5" s="60" t="n">
        <x:v>65</x:v>
      </x:c>
      <x:c r="I5" s="60" t="n">
        <x:v>60</x:v>
      </x:c>
      <x:c r="J5" s="60" t="n">
        <x:v>85</x:v>
      </x:c>
      <x:c r="K5" s="60" t="n">
        <x:v>410</x:v>
      </x:c>
      <x:c r="L5" s="64" t="n">
        <x:f>MAX('Growth Rules'!$B$8,ROUND(('Growth Rules'!$B$4+'Growth Rules'!$B$5*($K5-'Growth Rules'!$B$6))*(E5/($K5/6))^'Growth Rules'!$B$7,0))</x:f>
        <x:v>34</x:v>
      </x:c>
      <x:c r="M5" s="64" t="n">
        <x:f>MAX('Growth Rules'!$B$8,ROUND(('Growth Rules'!$B$4+'Growth Rules'!$B$5*($K5-'Growth Rules'!$B$6))*(F5/($K5/6))^'Growth Rules'!$B$7,0))</x:f>
        <x:v>63</x:v>
      </x:c>
      <x:c r="N5" s="64" t="n">
        <x:f>MAX('Growth Rules'!$B$8,ROUND(('Growth Rules'!$B$4+'Growth Rules'!$B$5*($K5-'Growth Rules'!$B$6))*(G5/($K5/6))^'Growth Rules'!$B$7,0))</x:f>
        <x:v>19</x:v>
      </x:c>
      <x:c r="O5" s="64" t="n">
        <x:f>MAX('Growth Rules'!$B$8,ROUND(('Growth Rules'!$B$4+'Growth Rules'!$B$5*($K5-'Growth Rules'!$B$6))*(H5/($K5/6))^'Growth Rules'!$B$7,0))</x:f>
        <x:v>34</x:v>
      </x:c>
      <x:c r="P5" s="64" t="n">
        <x:f>MAX('Growth Rules'!$B$8,ROUND(('Growth Rules'!$B$4+'Growth Rules'!$B$5*($K5-'Growth Rules'!$B$6))*(I5/($K5/6))^'Growth Rules'!$B$7,0))</x:f>
        <x:v>29</x:v>
      </x:c>
      <x:c r="Q5" s="64" t="n">
        <x:f>MAX('Growth Rules'!$B$8,ROUND(('Growth Rules'!$B$4+'Growth Rules'!$B$5*($K5-'Growth Rules'!$B$6))*(J5/($K5/6))^'Growth Rules'!$B$7,0))</x:f>
        <x:v>63</x:v>
      </x:c>
      <x:c r="R5" s="66" t="n">
        <x:f>SUM(L5:Q5)/100</x:f>
        <x:v>2.42</x:v>
      </x:c>
      <x:c r="S5" s="62" t="str">
        <x:v>Noctafey</x:v>
      </x:c>
      <x:c r="T5" s="62" t="str">
        <x:v>LEVEL</x:v>
      </x:c>
      <x:c r="U5" s="62" t="str">
        <x:v>36</x:v>
      </x:c>
      <x:c r="V5" s="62" t="str"/>
      <x:c r="W5" s="62" t="str">
        <x:v>36</x:v>
      </x:c>
      <x:c r="X5" s="62" t="str">
        <x:v>KEEP EXISTING / VALIDATED</x:v>
      </x:c>
      <x:c r="Y5" s="62" t="str">
        <x:v>Regional_Dex_Stats_and_Abilities_COMPLETE_v2.xlsx + Regional_Dex_Progression_Learnsets_v3.xlsx</x:v>
      </x:c>
    </x:row>
    <x:row r="6">
      <x:c r="A6" s="60" t="n">
        <x:v>3</x:v>
      </x:c>
      <x:c r="B6" s="62" t="str">
        <x:v>Noctafey</x:v>
      </x:c>
      <x:c r="C6" s="62" t="str">
        <x:v>Dark</x:v>
      </x:c>
      <x:c r="D6" s="62" t="str">
        <x:v>Fairy</x:v>
      </x:c>
      <x:c r="E6" s="60" t="n">
        <x:v>75</x:v>
      </x:c>
      <x:c r="F6" s="60" t="n">
        <x:v>105</x:v>
      </x:c>
      <x:c r="G6" s="60" t="n">
        <x:v>65</x:v>
      </x:c>
      <x:c r="H6" s="60" t="n">
        <x:v>105</x:v>
      </x:c>
      <x:c r="I6" s="60" t="n">
        <x:v>75</x:v>
      </x:c>
      <x:c r="J6" s="60" t="n">
        <x:v>105</x:v>
      </x:c>
      <x:c r="K6" s="60" t="n">
        <x:v>530</x:v>
      </x:c>
      <x:c r="L6" s="64" t="n">
        <x:f>MAX('Growth Rules'!$B$8,ROUND(('Growth Rules'!$B$4+'Growth Rules'!$B$5*($K6-'Growth Rules'!$B$6))*(E6/($K6/6))^'Growth Rules'!$B$7,0))</x:f>
        <x:v>32</x:v>
      </x:c>
      <x:c r="M6" s="64" t="n">
        <x:f>MAX('Growth Rules'!$B$8,ROUND(('Growth Rules'!$B$4+'Growth Rules'!$B$5*($K6-'Growth Rules'!$B$6))*(F6/($K6/6))^'Growth Rules'!$B$7,0))</x:f>
        <x:v>68</x:v>
      </x:c>
      <x:c r="N6" s="64" t="n">
        <x:f>MAX('Growth Rules'!$B$8,ROUND(('Growth Rules'!$B$4+'Growth Rules'!$B$5*($K6-'Growth Rules'!$B$6))*(G6/($K6/6))^'Growth Rules'!$B$7,0))</x:f>
        <x:v>23</x:v>
      </x:c>
      <x:c r="O6" s="64" t="n">
        <x:f>MAX('Growth Rules'!$B$8,ROUND(('Growth Rules'!$B$4+'Growth Rules'!$B$5*($K6-'Growth Rules'!$B$6))*(H6/($K6/6))^'Growth Rules'!$B$7,0))</x:f>
        <x:v>68</x:v>
      </x:c>
      <x:c r="P6" s="64" t="n">
        <x:f>MAX('Growth Rules'!$B$8,ROUND(('Growth Rules'!$B$4+'Growth Rules'!$B$5*($K6-'Growth Rules'!$B$6))*(I6/($K6/6))^'Growth Rules'!$B$7,0))</x:f>
        <x:v>32</x:v>
      </x:c>
      <x:c r="Q6" s="64" t="n">
        <x:f>MAX('Growth Rules'!$B$8,ROUND(('Growth Rules'!$B$4+'Growth Rules'!$B$5*($K6-'Growth Rules'!$B$6))*(J6/($K6/6))^'Growth Rules'!$B$7,0))</x:f>
        <x:v>68</x:v>
      </x:c>
      <x:c r="R6" s="66" t="n">
        <x:f>SUM(L6:Q6)/100</x:f>
        <x:v>2.91</x:v>
      </x:c>
      <x:c r="S6" s="62" t="str"/>
      <x:c r="T6" s="62" t="str"/>
      <x:c r="U6" s="62" t="str"/>
      <x:c r="V6" s="62" t="str"/>
      <x:c r="W6" s="62" t="str"/>
      <x:c r="X6" s="62" t="str"/>
      <x:c r="Y6" s="62" t="str">
        <x:v>Regional_Dex_Stats_and_Abilities_COMPLETE_v2.xlsx + Regional_Dex_Progression_Learnsets_v3.xlsx</x:v>
      </x:c>
    </x:row>
    <x:row r="7">
      <x:c r="A7" s="60" t="n">
        <x:v>4</x:v>
      </x:c>
      <x:c r="B7" s="62" t="str">
        <x:v>Calibrit</x:v>
      </x:c>
      <x:c r="C7" s="62" t="str">
        <x:v>Psychic</x:v>
      </x:c>
      <x:c r="D7" s="62" t="str"/>
      <x:c r="E7" s="60" t="n">
        <x:v>40</x:v>
      </x:c>
      <x:c r="F7" s="60" t="n">
        <x:v>50</x:v>
      </x:c>
      <x:c r="G7" s="60" t="n">
        <x:v>50</x:v>
      </x:c>
      <x:c r="H7" s="60" t="n">
        <x:v>65</x:v>
      </x:c>
      <x:c r="I7" s="60" t="n">
        <x:v>50</x:v>
      </x:c>
      <x:c r="J7" s="60" t="n">
        <x:v>55</x:v>
      </x:c>
      <x:c r="K7" s="60" t="n">
        <x:v>310</x:v>
      </x:c>
      <x:c r="L7" s="64" t="n">
        <x:f>MAX('Growth Rules'!$B$8,ROUND(('Growth Rules'!$B$4+'Growth Rules'!$B$5*($K7-'Growth Rules'!$B$6))*(E7/($K7/6))^'Growth Rules'!$B$7,0))</x:f>
        <x:v>18</x:v>
      </x:c>
      <x:c r="M7" s="64" t="n">
        <x:f>MAX('Growth Rules'!$B$8,ROUND(('Growth Rules'!$B$4+'Growth Rules'!$B$5*($K7-'Growth Rules'!$B$6))*(F7/($K7/6))^'Growth Rules'!$B$7,0))</x:f>
        <x:v>30</x:v>
      </x:c>
      <x:c r="N7" s="64" t="n">
        <x:f>MAX('Growth Rules'!$B$8,ROUND(('Growth Rules'!$B$4+'Growth Rules'!$B$5*($K7-'Growth Rules'!$B$6))*(G7/($K7/6))^'Growth Rules'!$B$7,0))</x:f>
        <x:v>30</x:v>
      </x:c>
      <x:c r="O7" s="64" t="n">
        <x:f>MAX('Growth Rules'!$B$8,ROUND(('Growth Rules'!$B$4+'Growth Rules'!$B$5*($K7-'Growth Rules'!$B$6))*(H7/($K7/6))^'Growth Rules'!$B$7,0))</x:f>
        <x:v>55</x:v>
      </x:c>
      <x:c r="P7" s="64" t="n">
        <x:f>MAX('Growth Rules'!$B$8,ROUND(('Growth Rules'!$B$4+'Growth Rules'!$B$5*($K7-'Growth Rules'!$B$6))*(I7/($K7/6))^'Growth Rules'!$B$7,0))</x:f>
        <x:v>30</x:v>
      </x:c>
      <x:c r="Q7" s="64" t="n">
        <x:f>MAX('Growth Rules'!$B$8,ROUND(('Growth Rules'!$B$4+'Growth Rules'!$B$5*($K7-'Growth Rules'!$B$6))*(J7/($K7/6))^'Growth Rules'!$B$7,0))</x:f>
        <x:v>38</x:v>
      </x:c>
      <x:c r="R7" s="66" t="n">
        <x:f>SUM(L7:Q7)/100</x:f>
        <x:v>2.01</x:v>
      </x:c>
      <x:c r="S7" s="62" t="str">
        <x:v>Severyn</x:v>
      </x:c>
      <x:c r="T7" s="62" t="str">
        <x:v>LEVEL</x:v>
      </x:c>
      <x:c r="U7" s="62" t="str">
        <x:v>16</x:v>
      </x:c>
      <x:c r="V7" s="62" t="str"/>
      <x:c r="W7" s="62" t="str">
        <x:v>16</x:v>
      </x:c>
      <x:c r="X7" s="62" t="str">
        <x:v>KEEP EXISTING / VALIDATED</x:v>
      </x:c>
      <x:c r="Y7" s="62" t="str">
        <x:v>Regional_Dex_Stats_and_Abilities_COMPLETE_v2.xlsx + Regional_Dex_Progression_Learnsets_v3.xlsx</x:v>
      </x:c>
    </x:row>
    <x:row r="8">
      <x:c r="A8" s="60" t="n">
        <x:v>5</x:v>
      </x:c>
      <x:c r="B8" s="62" t="str">
        <x:v>Severyn</x:v>
      </x:c>
      <x:c r="C8" s="62" t="str">
        <x:v>Psychic</x:v>
      </x:c>
      <x:c r="D8" s="62" t="str"/>
      <x:c r="E8" s="60" t="n">
        <x:v>60</x:v>
      </x:c>
      <x:c r="F8" s="60" t="n">
        <x:v>60</x:v>
      </x:c>
      <x:c r="G8" s="60" t="n">
        <x:v>60</x:v>
      </x:c>
      <x:c r="H8" s="60" t="n">
        <x:v>85</x:v>
      </x:c>
      <x:c r="I8" s="60" t="n">
        <x:v>60</x:v>
      </x:c>
      <x:c r="J8" s="60" t="n">
        <x:v>85</x:v>
      </x:c>
      <x:c r="K8" s="60" t="n">
        <x:v>410</x:v>
      </x:c>
      <x:c r="L8" s="64" t="n">
        <x:f>MAX('Growth Rules'!$B$8,ROUND(('Growth Rules'!$B$4+'Growth Rules'!$B$5*($K8-'Growth Rules'!$B$6))*(E8/($K8/6))^'Growth Rules'!$B$7,0))</x:f>
        <x:v>29</x:v>
      </x:c>
      <x:c r="M8" s="64" t="n">
        <x:f>MAX('Growth Rules'!$B$8,ROUND(('Growth Rules'!$B$4+'Growth Rules'!$B$5*($K8-'Growth Rules'!$B$6))*(F8/($K8/6))^'Growth Rules'!$B$7,0))</x:f>
        <x:v>29</x:v>
      </x:c>
      <x:c r="N8" s="64" t="n">
        <x:f>MAX('Growth Rules'!$B$8,ROUND(('Growth Rules'!$B$4+'Growth Rules'!$B$5*($K8-'Growth Rules'!$B$6))*(G8/($K8/6))^'Growth Rules'!$B$7,0))</x:f>
        <x:v>29</x:v>
      </x:c>
      <x:c r="O8" s="64" t="n">
        <x:f>MAX('Growth Rules'!$B$8,ROUND(('Growth Rules'!$B$4+'Growth Rules'!$B$5*($K8-'Growth Rules'!$B$6))*(H8/($K8/6))^'Growth Rules'!$B$7,0))</x:f>
        <x:v>63</x:v>
      </x:c>
      <x:c r="P8" s="64" t="n">
        <x:f>MAX('Growth Rules'!$B$8,ROUND(('Growth Rules'!$B$4+'Growth Rules'!$B$5*($K8-'Growth Rules'!$B$6))*(I8/($K8/6))^'Growth Rules'!$B$7,0))</x:f>
        <x:v>29</x:v>
      </x:c>
      <x:c r="Q8" s="64" t="n">
        <x:f>MAX('Growth Rules'!$B$8,ROUND(('Growth Rules'!$B$4+'Growth Rules'!$B$5*($K8-'Growth Rules'!$B$6))*(J8/($K8/6))^'Growth Rules'!$B$7,0))</x:f>
        <x:v>63</x:v>
      </x:c>
      <x:c r="R8" s="66" t="n">
        <x:f>SUM(L8:Q8)/100</x:f>
        <x:v>2.42</x:v>
      </x:c>
      <x:c r="S8" s="62" t="str">
        <x:v>Axiomaro</x:v>
      </x:c>
      <x:c r="T8" s="62" t="str">
        <x:v>LEVEL</x:v>
      </x:c>
      <x:c r="U8" s="62" t="str">
        <x:v>36</x:v>
      </x:c>
      <x:c r="V8" s="62" t="str"/>
      <x:c r="W8" s="62" t="str">
        <x:v>36</x:v>
      </x:c>
      <x:c r="X8" s="62" t="str">
        <x:v>KEEP EXISTING / VALIDATED</x:v>
      </x:c>
      <x:c r="Y8" s="62" t="str">
        <x:v>Regional_Dex_Stats_and_Abilities_COMPLETE_v2.xlsx + Regional_Dex_Progression_Learnsets_v3.xlsx</x:v>
      </x:c>
    </x:row>
    <x:row r="9">
      <x:c r="A9" s="60" t="n">
        <x:v>6</x:v>
      </x:c>
      <x:c r="B9" s="62" t="str">
        <x:v>Axiomaro</x:v>
      </x:c>
      <x:c r="C9" s="62" t="str">
        <x:v>Psychic</x:v>
      </x:c>
      <x:c r="D9" s="62" t="str">
        <x:v>Steel</x:v>
      </x:c>
      <x:c r="E9" s="60" t="n">
        <x:v>70</x:v>
      </x:c>
      <x:c r="F9" s="60" t="n">
        <x:v>100</x:v>
      </x:c>
      <x:c r="G9" s="60" t="n">
        <x:v>100</x:v>
      </x:c>
      <x:c r="H9" s="60" t="n">
        <x:v>100</x:v>
      </x:c>
      <x:c r="I9" s="60" t="n">
        <x:v>75</x:v>
      </x:c>
      <x:c r="J9" s="60" t="n">
        <x:v>85</x:v>
      </x:c>
      <x:c r="K9" s="60" t="n">
        <x:v>530</x:v>
      </x:c>
      <x:c r="L9" s="64" t="n">
        <x:f>MAX('Growth Rules'!$B$8,ROUND(('Growth Rules'!$B$4+'Growth Rules'!$B$5*($K9-'Growth Rules'!$B$6))*(E9/($K9/6))^'Growth Rules'!$B$7,0))</x:f>
        <x:v>27</x:v>
      </x:c>
      <x:c r="M9" s="64" t="n">
        <x:f>MAX('Growth Rules'!$B$8,ROUND(('Growth Rules'!$B$4+'Growth Rules'!$B$5*($K9-'Growth Rules'!$B$6))*(F9/($K9/6))^'Growth Rules'!$B$7,0))</x:f>
        <x:v>61</x:v>
      </x:c>
      <x:c r="N9" s="64" t="n">
        <x:f>MAX('Growth Rules'!$B$8,ROUND(('Growth Rules'!$B$4+'Growth Rules'!$B$5*($K9-'Growth Rules'!$B$6))*(G9/($K9/6))^'Growth Rules'!$B$7,0))</x:f>
        <x:v>61</x:v>
      </x:c>
      <x:c r="O9" s="64" t="n">
        <x:f>MAX('Growth Rules'!$B$8,ROUND(('Growth Rules'!$B$4+'Growth Rules'!$B$5*($K9-'Growth Rules'!$B$6))*(H9/($K9/6))^'Growth Rules'!$B$7,0))</x:f>
        <x:v>61</x:v>
      </x:c>
      <x:c r="P9" s="64" t="n">
        <x:f>MAX('Growth Rules'!$B$8,ROUND(('Growth Rules'!$B$4+'Growth Rules'!$B$5*($K9-'Growth Rules'!$B$6))*(I9/($K9/6))^'Growth Rules'!$B$7,0))</x:f>
        <x:v>32</x:v>
      </x:c>
      <x:c r="Q9" s="64" t="n">
        <x:f>MAX('Growth Rules'!$B$8,ROUND(('Growth Rules'!$B$4+'Growth Rules'!$B$5*($K9-'Growth Rules'!$B$6))*(J9/($K9/6))^'Growth Rules'!$B$7,0))</x:f>
        <x:v>42</x:v>
      </x:c>
      <x:c r="R9" s="66" t="n">
        <x:f>SUM(L9:Q9)/100</x:f>
        <x:v>2.84</x:v>
      </x:c>
      <x:c r="S9" s="62" t="str"/>
      <x:c r="T9" s="62" t="str"/>
      <x:c r="U9" s="62" t="str"/>
      <x:c r="V9" s="62" t="str"/>
      <x:c r="W9" s="62" t="str"/>
      <x:c r="X9" s="62" t="str"/>
      <x:c r="Y9" s="62" t="str">
        <x:v>Regional_Dex_Stats_and_Abilities_COMPLETE_v2.xlsx + Regional_Dex_Progression_Learnsets_v3.xlsx</x:v>
      </x:c>
    </x:row>
    <x:row r="10">
      <x:c r="A10" s="60" t="n">
        <x:v>7</x:v>
      </x:c>
      <x:c r="B10" s="62" t="str">
        <x:v>Ruffurn</x:v>
      </x:c>
      <x:c r="C10" s="62" t="str">
        <x:v>Fighting</x:v>
      </x:c>
      <x:c r="D10" s="62" t="str"/>
      <x:c r="E10" s="60" t="n">
        <x:v>60</x:v>
      </x:c>
      <x:c r="F10" s="60" t="n">
        <x:v>70</x:v>
      </x:c>
      <x:c r="G10" s="60" t="n">
        <x:v>50</x:v>
      </x:c>
      <x:c r="H10" s="60" t="n">
        <x:v>30</x:v>
      </x:c>
      <x:c r="I10" s="60" t="n">
        <x:v>50</x:v>
      </x:c>
      <x:c r="J10" s="60" t="n">
        <x:v>50</x:v>
      </x:c>
      <x:c r="K10" s="60" t="n">
        <x:v>310</x:v>
      </x:c>
      <x:c r="L10" s="64" t="n">
        <x:f>MAX('Growth Rules'!$B$8,ROUND(('Growth Rules'!$B$4+'Growth Rules'!$B$5*($K10-'Growth Rules'!$B$6))*(E10/($K10/6))^'Growth Rules'!$B$7,0))</x:f>
        <x:v>46</x:v>
      </x:c>
      <x:c r="M10" s="64" t="n">
        <x:f>MAX('Growth Rules'!$B$8,ROUND(('Growth Rules'!$B$4+'Growth Rules'!$B$5*($K10-'Growth Rules'!$B$6))*(F10/($K10/6))^'Growth Rules'!$B$7,0))</x:f>
        <x:v>65</x:v>
      </x:c>
      <x:c r="N10" s="64" t="n">
        <x:f>MAX('Growth Rules'!$B$8,ROUND(('Growth Rules'!$B$4+'Growth Rules'!$B$5*($K10-'Growth Rules'!$B$6))*(G10/($K10/6))^'Growth Rules'!$B$7,0))</x:f>
        <x:v>30</x:v>
      </x:c>
      <x:c r="O10" s="64" t="n">
        <x:f>MAX('Growth Rules'!$B$8,ROUND(('Growth Rules'!$B$4+'Growth Rules'!$B$5*($K10-'Growth Rules'!$B$6))*(H10/($K10/6))^'Growth Rules'!$B$7,0))</x:f>
        <x:v>10</x:v>
      </x:c>
      <x:c r="P10" s="64" t="n">
        <x:f>MAX('Growth Rules'!$B$8,ROUND(('Growth Rules'!$B$4+'Growth Rules'!$B$5*($K10-'Growth Rules'!$B$6))*(I10/($K10/6))^'Growth Rules'!$B$7,0))</x:f>
        <x:v>30</x:v>
      </x:c>
      <x:c r="Q10" s="64" t="n">
        <x:f>MAX('Growth Rules'!$B$8,ROUND(('Growth Rules'!$B$4+'Growth Rules'!$B$5*($K10-'Growth Rules'!$B$6))*(J10/($K10/6))^'Growth Rules'!$B$7,0))</x:f>
        <x:v>30</x:v>
      </x:c>
      <x:c r="R10" s="66" t="n">
        <x:f>SUM(L10:Q10)/100</x:f>
        <x:v>2.11</x:v>
      </x:c>
      <x:c r="S10" s="62" t="str">
        <x:v>Revhound</x:v>
      </x:c>
      <x:c r="T10" s="62" t="str">
        <x:v>LEVEL</x:v>
      </x:c>
      <x:c r="U10" s="62" t="str">
        <x:v>16</x:v>
      </x:c>
      <x:c r="V10" s="62" t="str"/>
      <x:c r="W10" s="62" t="str">
        <x:v>16</x:v>
      </x:c>
      <x:c r="X10" s="62" t="str">
        <x:v>KEEP EXISTING / VALIDATED</x:v>
      </x:c>
      <x:c r="Y10" s="62" t="str">
        <x:v>Regional_Dex_Stats_and_Abilities_COMPLETE_v2.xlsx + Regional_Dex_Progression_Learnsets_v3.xlsx</x:v>
      </x:c>
    </x:row>
    <x:row r="11">
      <x:c r="A11" s="60" t="n">
        <x:v>8</x:v>
      </x:c>
      <x:c r="B11" s="62" t="str">
        <x:v>Revhound</x:v>
      </x:c>
      <x:c r="C11" s="62" t="str">
        <x:v>Fighting</x:v>
      </x:c>
      <x:c r="D11" s="62" t="str"/>
      <x:c r="E11" s="60" t="n">
        <x:v>85</x:v>
      </x:c>
      <x:c r="F11" s="60" t="n">
        <x:v>85</x:v>
      </x:c>
      <x:c r="G11" s="60" t="n">
        <x:v>75</x:v>
      </x:c>
      <x:c r="H11" s="60" t="n">
        <x:v>40</x:v>
      </x:c>
      <x:c r="I11" s="60" t="n">
        <x:v>60</x:v>
      </x:c>
      <x:c r="J11" s="60" t="n">
        <x:v>65</x:v>
      </x:c>
      <x:c r="K11" s="60" t="n">
        <x:v>410</x:v>
      </x:c>
      <x:c r="L11" s="64" t="n">
        <x:f>MAX('Growth Rules'!$B$8,ROUND(('Growth Rules'!$B$4+'Growth Rules'!$B$5*($K11-'Growth Rules'!$B$6))*(E11/($K11/6))^'Growth Rules'!$B$7,0))</x:f>
        <x:v>63</x:v>
      </x:c>
      <x:c r="M11" s="64" t="n">
        <x:f>MAX('Growth Rules'!$B$8,ROUND(('Growth Rules'!$B$4+'Growth Rules'!$B$5*($K11-'Growth Rules'!$B$6))*(F11/($K11/6))^'Growth Rules'!$B$7,0))</x:f>
        <x:v>63</x:v>
      </x:c>
      <x:c r="N11" s="64" t="n">
        <x:f>MAX('Growth Rules'!$B$8,ROUND(('Growth Rules'!$B$4+'Growth Rules'!$B$5*($K11-'Growth Rules'!$B$6))*(G11/($K11/6))^'Growth Rules'!$B$7,0))</x:f>
        <x:v>48</x:v>
      </x:c>
      <x:c r="O11" s="64" t="n">
        <x:f>MAX('Growth Rules'!$B$8,ROUND(('Growth Rules'!$B$4+'Growth Rules'!$B$5*($K11-'Growth Rules'!$B$6))*(H11/($K11/6))^'Growth Rules'!$B$7,0))</x:f>
        <x:v>12</x:v>
      </x:c>
      <x:c r="P11" s="64" t="n">
        <x:f>MAX('Growth Rules'!$B$8,ROUND(('Growth Rules'!$B$4+'Growth Rules'!$B$5*($K11-'Growth Rules'!$B$6))*(I11/($K11/6))^'Growth Rules'!$B$7,0))</x:f>
        <x:v>29</x:v>
      </x:c>
      <x:c r="Q11" s="64" t="n">
        <x:f>MAX('Growth Rules'!$B$8,ROUND(('Growth Rules'!$B$4+'Growth Rules'!$B$5*($K11-'Growth Rules'!$B$6))*(J11/($K11/6))^'Growth Rules'!$B$7,0))</x:f>
        <x:v>34</x:v>
      </x:c>
      <x:c r="R11" s="66" t="n">
        <x:f>SUM(L11:Q11)/100</x:f>
        <x:v>2.49</x:v>
      </x:c>
      <x:c r="S11" s="62" t="str">
        <x:v>Revault</x:v>
      </x:c>
      <x:c r="T11" s="62" t="str">
        <x:v>LEVEL</x:v>
      </x:c>
      <x:c r="U11" s="62" t="str">
        <x:v>36</x:v>
      </x:c>
      <x:c r="V11" s="62" t="str"/>
      <x:c r="W11" s="62" t="str">
        <x:v>36</x:v>
      </x:c>
      <x:c r="X11" s="62" t="str">
        <x:v>KEEP EXISTING / VALIDATED</x:v>
      </x:c>
      <x:c r="Y11" s="62" t="str">
        <x:v>Regional_Dex_Stats_and_Abilities_COMPLETE_v2.xlsx + Regional_Dex_Progression_Learnsets_v3.xlsx</x:v>
      </x:c>
    </x:row>
    <x:row r="12">
      <x:c r="A12" s="60" t="n">
        <x:v>9</x:v>
      </x:c>
      <x:c r="B12" s="62" t="str">
        <x:v>Revault</x:v>
      </x:c>
      <x:c r="C12" s="62" t="str">
        <x:v>Fighting</x:v>
      </x:c>
      <x:c r="D12" s="62" t="str">
        <x:v>Electric</x:v>
      </x:c>
      <x:c r="E12" s="60" t="n">
        <x:v>100</x:v>
      </x:c>
      <x:c r="F12" s="60" t="n">
        <x:v>125</x:v>
      </x:c>
      <x:c r="G12" s="60" t="n">
        <x:v>100</x:v>
      </x:c>
      <x:c r="H12" s="60" t="n">
        <x:v>45</x:v>
      </x:c>
      <x:c r="I12" s="60" t="n">
        <x:v>75</x:v>
      </x:c>
      <x:c r="J12" s="60" t="n">
        <x:v>85</x:v>
      </x:c>
      <x:c r="K12" s="60" t="n">
        <x:v>530</x:v>
      </x:c>
      <x:c r="L12" s="64" t="n">
        <x:f>MAX('Growth Rules'!$B$8,ROUND(('Growth Rules'!$B$4+'Growth Rules'!$B$5*($K12-'Growth Rules'!$B$6))*(E12/($K12/6))^'Growth Rules'!$B$7,0))</x:f>
        <x:v>61</x:v>
      </x:c>
      <x:c r="M12" s="64" t="n">
        <x:f>MAX('Growth Rules'!$B$8,ROUND(('Growth Rules'!$B$4+'Growth Rules'!$B$5*($K12-'Growth Rules'!$B$6))*(F12/($K12/6))^'Growth Rules'!$B$7,0))</x:f>
        <x:v>100</x:v>
      </x:c>
      <x:c r="N12" s="64" t="n">
        <x:f>MAX('Growth Rules'!$B$8,ROUND(('Growth Rules'!$B$4+'Growth Rules'!$B$5*($K12-'Growth Rules'!$B$6))*(G12/($K12/6))^'Growth Rules'!$B$7,0))</x:f>
        <x:v>61</x:v>
      </x:c>
      <x:c r="O12" s="64" t="n">
        <x:f>MAX('Growth Rules'!$B$8,ROUND(('Growth Rules'!$B$4+'Growth Rules'!$B$5*($K12-'Growth Rules'!$B$6))*(H12/($K12/6))^'Growth Rules'!$B$7,0))</x:f>
        <x:v>10</x:v>
      </x:c>
      <x:c r="P12" s="64" t="n">
        <x:f>MAX('Growth Rules'!$B$8,ROUND(('Growth Rules'!$B$4+'Growth Rules'!$B$5*($K12-'Growth Rules'!$B$6))*(I12/($K12/6))^'Growth Rules'!$B$7,0))</x:f>
        <x:v>32</x:v>
      </x:c>
      <x:c r="Q12" s="64" t="n">
        <x:f>MAX('Growth Rules'!$B$8,ROUND(('Growth Rules'!$B$4+'Growth Rules'!$B$5*($K12-'Growth Rules'!$B$6))*(J12/($K12/6))^'Growth Rules'!$B$7,0))</x:f>
        <x:v>42</x:v>
      </x:c>
      <x:c r="R12" s="66" t="n">
        <x:f>SUM(L12:Q12)/100</x:f>
        <x:v>3.06</x:v>
      </x:c>
      <x:c r="S12" s="62" t="str"/>
      <x:c r="T12" s="62" t="str"/>
      <x:c r="U12" s="62" t="str"/>
      <x:c r="V12" s="62" t="str"/>
      <x:c r="W12" s="62" t="str"/>
      <x:c r="X12" s="62" t="str"/>
      <x:c r="Y12" s="62" t="str">
        <x:v>Regional_Dex_Stats_and_Abilities_COMPLETE_v2.xlsx + Regional_Dex_Progression_Learnsets_v3.xlsx</x:v>
      </x:c>
    </x:row>
    <x:row r="13">
      <x:c r="A13" s="60" t="n">
        <x:v>10</x:v>
      </x:c>
      <x:c r="B13" s="62" t="str">
        <x:v>Pennkit</x:v>
      </x:c>
      <x:c r="C13" s="62" t="str">
        <x:v>Normal</x:v>
      </x:c>
      <x:c r="D13" s="62" t="str"/>
      <x:c r="E13" s="60" t="n">
        <x:v>45</x:v>
      </x:c>
      <x:c r="F13" s="60" t="n">
        <x:v>55</x:v>
      </x:c>
      <x:c r="G13" s="60" t="n">
        <x:v>35</x:v>
      </x:c>
      <x:c r="H13" s="60" t="n">
        <x:v>35</x:v>
      </x:c>
      <x:c r="I13" s="60" t="n">
        <x:v>50</x:v>
      </x:c>
      <x:c r="J13" s="60" t="n">
        <x:v>70</x:v>
      </x:c>
      <x:c r="K13" s="60" t="n">
        <x:v>290</x:v>
      </x:c>
      <x:c r="L13" s="64" t="n">
        <x:f>MAX('Growth Rules'!$B$8,ROUND(('Growth Rules'!$B$4+'Growth Rules'!$B$5*($K13-'Growth Rules'!$B$6))*(E13/($K13/6))^'Growth Rules'!$B$7,0))</x:f>
        <x:v>27</x:v>
      </x:c>
      <x:c r="M13" s="64" t="n">
        <x:f>MAX('Growth Rules'!$B$8,ROUND(('Growth Rules'!$B$4+'Growth Rules'!$B$5*($K13-'Growth Rules'!$B$6))*(F13/($K13/6))^'Growth Rules'!$B$7,0))</x:f>
        <x:v>42</x:v>
      </x:c>
      <x:c r="N13" s="64" t="n">
        <x:f>MAX('Growth Rules'!$B$8,ROUND(('Growth Rules'!$B$4+'Growth Rules'!$B$5*($K13-'Growth Rules'!$B$6))*(G13/($K13/6))^'Growth Rules'!$B$7,0))</x:f>
        <x:v>15</x:v>
      </x:c>
      <x:c r="O13" s="64" t="n">
        <x:f>MAX('Growth Rules'!$B$8,ROUND(('Growth Rules'!$B$4+'Growth Rules'!$B$5*($K13-'Growth Rules'!$B$6))*(H13/($K13/6))^'Growth Rules'!$B$7,0))</x:f>
        <x:v>15</x:v>
      </x:c>
      <x:c r="P13" s="64" t="n">
        <x:f>MAX('Growth Rules'!$B$8,ROUND(('Growth Rules'!$B$4+'Growth Rules'!$B$5*($K13-'Growth Rules'!$B$6))*(I13/($K13/6))^'Growth Rules'!$B$7,0))</x:f>
        <x:v>34</x:v>
      </x:c>
      <x:c r="Q13" s="64" t="n">
        <x:f>MAX('Growth Rules'!$B$8,ROUND(('Growth Rules'!$B$4+'Growth Rules'!$B$5*($K13-'Growth Rules'!$B$6))*(J13/($K13/6))^'Growth Rules'!$B$7,0))</x:f>
        <x:v>72</x:v>
      </x:c>
      <x:c r="R13" s="66" t="n">
        <x:f>SUM(L13:Q13)/100</x:f>
        <x:v>2.05</x:v>
      </x:c>
      <x:c r="S13" s="62" t="str">
        <x:v>Hareald</x:v>
      </x:c>
      <x:c r="T13" s="62" t="str">
        <x:v>LEVEL</x:v>
      </x:c>
      <x:c r="U13" s="62" t="str">
        <x:v>26</x:v>
      </x:c>
      <x:c r="V13" s="62" t="str"/>
      <x:c r="W13" s="62" t="str">
        <x:v>26</x:v>
      </x:c>
      <x:c r="X13" s="62" t="str">
        <x:v>KEEP EXISTING / VALIDATED</x:v>
      </x:c>
      <x:c r="Y13" s="62" t="str">
        <x:v>Regional_Dex_Stats_and_Abilities_COMPLETE_v2.xlsx + Regional_Dex_Progression_Learnsets_v3.xlsx</x:v>
      </x:c>
    </x:row>
    <x:row r="14">
      <x:c r="A14" s="60" t="n">
        <x:v>11</x:v>
      </x:c>
      <x:c r="B14" s="62" t="str">
        <x:v>Hareald</x:v>
      </x:c>
      <x:c r="C14" s="62" t="str">
        <x:v>Normal</x:v>
      </x:c>
      <x:c r="D14" s="62" t="str">
        <x:v>Fairy</x:v>
      </x:c>
      <x:c r="E14" s="60" t="n">
        <x:v>70</x:v>
      </x:c>
      <x:c r="F14" s="60" t="n">
        <x:v>70</x:v>
      </x:c>
      <x:c r="G14" s="60" t="n">
        <x:v>60</x:v>
      </x:c>
      <x:c r="H14" s="60" t="n">
        <x:v>70</x:v>
      </x:c>
      <x:c r="I14" s="60" t="n">
        <x:v>80</x:v>
      </x:c>
      <x:c r="J14" s="60" t="n">
        <x:v>95</x:v>
      </x:c>
      <x:c r="K14" s="60" t="n">
        <x:v>445</x:v>
      </x:c>
      <x:c r="L14" s="64" t="n">
        <x:f>MAX('Growth Rules'!$B$8,ROUND(('Growth Rules'!$B$4+'Growth Rules'!$B$5*($K14-'Growth Rules'!$B$6))*(E14/($K14/6))^'Growth Rules'!$B$7,0))</x:f>
        <x:v>36</x:v>
      </x:c>
      <x:c r="M14" s="64" t="n">
        <x:f>MAX('Growth Rules'!$B$8,ROUND(('Growth Rules'!$B$4+'Growth Rules'!$B$5*($K14-'Growth Rules'!$B$6))*(F14/($K14/6))^'Growth Rules'!$B$7,0))</x:f>
        <x:v>36</x:v>
      </x:c>
      <x:c r="N14" s="64" t="n">
        <x:f>MAX('Growth Rules'!$B$8,ROUND(('Growth Rules'!$B$4+'Growth Rules'!$B$5*($K14-'Growth Rules'!$B$6))*(G14/($K14/6))^'Growth Rules'!$B$7,0))</x:f>
        <x:v>25</x:v>
      </x:c>
      <x:c r="O14" s="64" t="n">
        <x:f>MAX('Growth Rules'!$B$8,ROUND(('Growth Rules'!$B$4+'Growth Rules'!$B$5*($K14-'Growth Rules'!$B$6))*(H14/($K14/6))^'Growth Rules'!$B$7,0))</x:f>
        <x:v>36</x:v>
      </x:c>
      <x:c r="P14" s="64" t="n">
        <x:f>MAX('Growth Rules'!$B$8,ROUND(('Growth Rules'!$B$4+'Growth Rules'!$B$5*($K14-'Growth Rules'!$B$6))*(I14/($K14/6))^'Growth Rules'!$B$7,0))</x:f>
        <x:v>48</x:v>
      </x:c>
      <x:c r="Q14" s="64" t="n">
        <x:f>MAX('Growth Rules'!$B$8,ROUND(('Growth Rules'!$B$4+'Growth Rules'!$B$5*($K14-'Growth Rules'!$B$6))*(J14/($K14/6))^'Growth Rules'!$B$7,0))</x:f>
        <x:v>71</x:v>
      </x:c>
      <x:c r="R14" s="66" t="n">
        <x:f>SUM(L14:Q14)/100</x:f>
        <x:v>2.52</x:v>
      </x:c>
      <x:c r="S14" s="62" t="str"/>
      <x:c r="T14" s="62" t="str"/>
      <x:c r="U14" s="62" t="str"/>
      <x:c r="V14" s="62" t="str"/>
      <x:c r="W14" s="62" t="str"/>
      <x:c r="X14" s="62" t="str"/>
      <x:c r="Y14" s="62" t="str">
        <x:v>Regional_Dex_Stats_and_Abilities_COMPLETE_v2.xlsx + Regional_Dex_Progression_Learnsets_v3.xlsx</x:v>
      </x:c>
    </x:row>
    <x:row r="15">
      <x:c r="A15" s="60" t="n">
        <x:v>12</x:v>
      </x:c>
      <x:c r="B15" s="62" t="str">
        <x:v>Tatterook</x:v>
      </x:c>
      <x:c r="C15" s="62" t="str">
        <x:v>Flying</x:v>
      </x:c>
      <x:c r="D15" s="62" t="str"/>
      <x:c r="E15" s="60" t="n">
        <x:v>40</x:v>
      </x:c>
      <x:c r="F15" s="60" t="n">
        <x:v>50</x:v>
      </x:c>
      <x:c r="G15" s="60" t="n">
        <x:v>35</x:v>
      </x:c>
      <x:c r="H15" s="60" t="n">
        <x:v>45</x:v>
      </x:c>
      <x:c r="I15" s="60" t="n">
        <x:v>50</x:v>
      </x:c>
      <x:c r="J15" s="60" t="n">
        <x:v>70</x:v>
      </x:c>
      <x:c r="K15" s="60" t="n">
        <x:v>290</x:v>
      </x:c>
      <x:c r="L15" s="64" t="n">
        <x:f>MAX('Growth Rules'!$B$8,ROUND(('Growth Rules'!$B$4+'Growth Rules'!$B$5*($K15-'Growth Rules'!$B$6))*(E15/($K15/6))^'Growth Rules'!$B$7,0))</x:f>
        <x:v>21</x:v>
      </x:c>
      <x:c r="M15" s="64" t="n">
        <x:f>MAX('Growth Rules'!$B$8,ROUND(('Growth Rules'!$B$4+'Growth Rules'!$B$5*($K15-'Growth Rules'!$B$6))*(F15/($K15/6))^'Growth Rules'!$B$7,0))</x:f>
        <x:v>34</x:v>
      </x:c>
      <x:c r="N15" s="64" t="n">
        <x:f>MAX('Growth Rules'!$B$8,ROUND(('Growth Rules'!$B$4+'Growth Rules'!$B$5*($K15-'Growth Rules'!$B$6))*(G15/($K15/6))^'Growth Rules'!$B$7,0))</x:f>
        <x:v>15</x:v>
      </x:c>
      <x:c r="O15" s="64" t="n">
        <x:f>MAX('Growth Rules'!$B$8,ROUND(('Growth Rules'!$B$4+'Growth Rules'!$B$5*($K15-'Growth Rules'!$B$6))*(H15/($K15/6))^'Growth Rules'!$B$7,0))</x:f>
        <x:v>27</x:v>
      </x:c>
      <x:c r="P15" s="64" t="n">
        <x:f>MAX('Growth Rules'!$B$8,ROUND(('Growth Rules'!$B$4+'Growth Rules'!$B$5*($K15-'Growth Rules'!$B$6))*(I15/($K15/6))^'Growth Rules'!$B$7,0))</x:f>
        <x:v>34</x:v>
      </x:c>
      <x:c r="Q15" s="64" t="n">
        <x:f>MAX('Growth Rules'!$B$8,ROUND(('Growth Rules'!$B$4+'Growth Rules'!$B$5*($K15-'Growth Rules'!$B$6))*(J15/($K15/6))^'Growth Rules'!$B$7,0))</x:f>
        <x:v>72</x:v>
      </x:c>
      <x:c r="R15" s="66" t="n">
        <x:f>SUM(L15:Q15)/100</x:f>
        <x:v>2.03</x:v>
      </x:c>
      <x:c r="S15" s="62" t="str">
        <x:v>Corvassal</x:v>
      </x:c>
      <x:c r="T15" s="62" t="str">
        <x:v>LEVEL</x:v>
      </x:c>
      <x:c r="U15" s="62" t="str">
        <x:v>26</x:v>
      </x:c>
      <x:c r="V15" s="62" t="str"/>
      <x:c r="W15" s="62" t="str">
        <x:v>26</x:v>
      </x:c>
      <x:c r="X15" s="62" t="str">
        <x:v>KEEP EXISTING / VALIDATED</x:v>
      </x:c>
      <x:c r="Y15" s="62" t="str">
        <x:v>Regional_Dex_Stats_and_Abilities_COMPLETE_v2.xlsx + Regional_Dex_Progression_Learnsets_v3.xlsx</x:v>
      </x:c>
    </x:row>
    <x:row r="16">
      <x:c r="A16" s="60" t="n">
        <x:v>13</x:v>
      </x:c>
      <x:c r="B16" s="62" t="str">
        <x:v>Corvassal</x:v>
      </x:c>
      <x:c r="C16" s="62" t="str">
        <x:v>Flying</x:v>
      </x:c>
      <x:c r="D16" s="62" t="str">
        <x:v>Dark</x:v>
      </x:c>
      <x:c r="E16" s="60" t="n">
        <x:v>70</x:v>
      </x:c>
      <x:c r="F16" s="60" t="n">
        <x:v>95</x:v>
      </x:c>
      <x:c r="G16" s="60" t="n">
        <x:v>70</x:v>
      </x:c>
      <x:c r="H16" s="60" t="n">
        <x:v>55</x:v>
      </x:c>
      <x:c r="I16" s="60" t="n">
        <x:v>70</x:v>
      </x:c>
      <x:c r="J16" s="60" t="n">
        <x:v>95</x:v>
      </x:c>
      <x:c r="K16" s="60" t="n">
        <x:v>455</x:v>
      </x:c>
      <x:c r="L16" s="64" t="n">
        <x:f>MAX('Growth Rules'!$B$8,ROUND(('Growth Rules'!$B$4+'Growth Rules'!$B$5*($K16-'Growth Rules'!$B$6))*(E16/($K16/6))^'Growth Rules'!$B$7,0))</x:f>
        <x:v>34</x:v>
      </x:c>
      <x:c r="M16" s="64" t="n">
        <x:f>MAX('Growth Rules'!$B$8,ROUND(('Growth Rules'!$B$4+'Growth Rules'!$B$5*($K16-'Growth Rules'!$B$6))*(F16/($K16/6))^'Growth Rules'!$B$7,0))</x:f>
        <x:v>69</x:v>
      </x:c>
      <x:c r="N16" s="64" t="n">
        <x:f>MAX('Growth Rules'!$B$8,ROUND(('Growth Rules'!$B$4+'Growth Rules'!$B$5*($K16-'Growth Rules'!$B$6))*(G16/($K16/6))^'Growth Rules'!$B$7,0))</x:f>
        <x:v>34</x:v>
      </x:c>
      <x:c r="O16" s="64" t="n">
        <x:f>MAX('Growth Rules'!$B$8,ROUND(('Growth Rules'!$B$4+'Growth Rules'!$B$5*($K16-'Growth Rules'!$B$6))*(H16/($K16/6))^'Growth Rules'!$B$7,0))</x:f>
        <x:v>20</x:v>
      </x:c>
      <x:c r="P16" s="64" t="n">
        <x:f>MAX('Growth Rules'!$B$8,ROUND(('Growth Rules'!$B$4+'Growth Rules'!$B$5*($K16-'Growth Rules'!$B$6))*(I16/($K16/6))^'Growth Rules'!$B$7,0))</x:f>
        <x:v>34</x:v>
      </x:c>
      <x:c r="Q16" s="64" t="n">
        <x:f>MAX('Growth Rules'!$B$8,ROUND(('Growth Rules'!$B$4+'Growth Rules'!$B$5*($K16-'Growth Rules'!$B$6))*(J16/($K16/6))^'Growth Rules'!$B$7,0))</x:f>
        <x:v>69</x:v>
      </x:c>
      <x:c r="R16" s="66" t="n">
        <x:f>SUM(L16:Q16)/100</x:f>
        <x:v>2.6</x:v>
      </x:c>
      <x:c r="S16" s="62" t="str"/>
      <x:c r="T16" s="62" t="str"/>
      <x:c r="U16" s="62" t="str"/>
      <x:c r="V16" s="62" t="str"/>
      <x:c r="W16" s="62" t="str"/>
      <x:c r="X16" s="62" t="str"/>
      <x:c r="Y16" s="62" t="str">
        <x:v>Regional_Dex_Stats_and_Abilities_COMPLETE_v2.xlsx + Regional_Dex_Progression_Learnsets_v3.xlsx</x:v>
      </x:c>
    </x:row>
    <x:row r="17">
      <x:c r="A17" s="60" t="n">
        <x:v>14</x:v>
      </x:c>
      <x:c r="B17" s="62" t="str">
        <x:v>Mottlet</x:v>
      </x:c>
      <x:c r="C17" s="62" t="str">
        <x:v>Ground</x:v>
      </x:c>
      <x:c r="D17" s="62" t="str"/>
      <x:c r="E17" s="60" t="n">
        <x:v>60</x:v>
      </x:c>
      <x:c r="F17" s="60" t="n">
        <x:v>50</x:v>
      </x:c>
      <x:c r="G17" s="60" t="n">
        <x:v>70</x:v>
      </x:c>
      <x:c r="H17" s="60" t="n">
        <x:v>35</x:v>
      </x:c>
      <x:c r="I17" s="60" t="n">
        <x:v>50</x:v>
      </x:c>
      <x:c r="J17" s="60" t="n">
        <x:v>35</x:v>
      </x:c>
      <x:c r="K17" s="60" t="n">
        <x:v>300</x:v>
      </x:c>
      <x:c r="L17" s="64" t="n">
        <x:f>MAX('Growth Rules'!$B$8,ROUND(('Growth Rules'!$B$4+'Growth Rules'!$B$5*($K17-'Growth Rules'!$B$6))*(E17/($K17/6))^'Growth Rules'!$B$7,0))</x:f>
        <x:v>48</x:v>
      </x:c>
      <x:c r="M17" s="64" t="n">
        <x:f>MAX('Growth Rules'!$B$8,ROUND(('Growth Rules'!$B$4+'Growth Rules'!$B$5*($K17-'Growth Rules'!$B$6))*(F17/($K17/6))^'Growth Rules'!$B$7,0))</x:f>
        <x:v>32</x:v>
      </x:c>
      <x:c r="N17" s="64" t="n">
        <x:f>MAX('Growth Rules'!$B$8,ROUND(('Growth Rules'!$B$4+'Growth Rules'!$B$5*($K17-'Growth Rules'!$B$6))*(G17/($K17/6))^'Growth Rules'!$B$7,0))</x:f>
        <x:v>68</x:v>
      </x:c>
      <x:c r="O17" s="64" t="n">
        <x:f>MAX('Growth Rules'!$B$8,ROUND(('Growth Rules'!$B$4+'Growth Rules'!$B$5*($K17-'Growth Rules'!$B$6))*(H17/($K17/6))^'Growth Rules'!$B$7,0))</x:f>
        <x:v>14</x:v>
      </x:c>
      <x:c r="P17" s="64" t="n">
        <x:f>MAX('Growth Rules'!$B$8,ROUND(('Growth Rules'!$B$4+'Growth Rules'!$B$5*($K17-'Growth Rules'!$B$6))*(I17/($K17/6))^'Growth Rules'!$B$7,0))</x:f>
        <x:v>32</x:v>
      </x:c>
      <x:c r="Q17" s="64" t="n">
        <x:f>MAX('Growth Rules'!$B$8,ROUND(('Growth Rules'!$B$4+'Growth Rules'!$B$5*($K17-'Growth Rules'!$B$6))*(J17/($K17/6))^'Growth Rules'!$B$7,0))</x:f>
        <x:v>14</x:v>
      </x:c>
      <x:c r="R17" s="66" t="n">
        <x:f>SUM(L17:Q17)/100</x:f>
        <x:v>2.08</x:v>
      </x:c>
      <x:c r="S17" s="62" t="str">
        <x:v>Bastimole</x:v>
      </x:c>
      <x:c r="T17" s="62" t="str">
        <x:v>LEVEL</x:v>
      </x:c>
      <x:c r="U17" s="62" t="str">
        <x:v>26</x:v>
      </x:c>
      <x:c r="V17" s="62" t="str"/>
      <x:c r="W17" s="62" t="str">
        <x:v>26</x:v>
      </x:c>
      <x:c r="X17" s="62" t="str">
        <x:v>KEEP EXISTING / VALIDATED</x:v>
      </x:c>
      <x:c r="Y17" s="62" t="str">
        <x:v>Regional_Dex_Stats_and_Abilities_COMPLETE_v2.xlsx + Regional_Dex_Progression_Learnsets_v3.xlsx</x:v>
      </x:c>
    </x:row>
    <x:row r="18">
      <x:c r="A18" s="60" t="n">
        <x:v>15</x:v>
      </x:c>
      <x:c r="B18" s="62" t="str">
        <x:v>Bastimole</x:v>
      </x:c>
      <x:c r="C18" s="62" t="str">
        <x:v>Ground</x:v>
      </x:c>
      <x:c r="D18" s="62" t="str">
        <x:v>Rock</x:v>
      </x:c>
      <x:c r="E18" s="60" t="n">
        <x:v>95</x:v>
      </x:c>
      <x:c r="F18" s="60" t="n">
        <x:v>95</x:v>
      </x:c>
      <x:c r="G18" s="60" t="n">
        <x:v>120</x:v>
      </x:c>
      <x:c r="H18" s="60" t="n">
        <x:v>45</x:v>
      </x:c>
      <x:c r="I18" s="60" t="n">
        <x:v>70</x:v>
      </x:c>
      <x:c r="J18" s="60" t="n">
        <x:v>45</x:v>
      </x:c>
      <x:c r="K18" s="60" t="n">
        <x:v>470</x:v>
      </x:c>
      <x:c r="L18" s="64" t="n">
        <x:f>MAX('Growth Rules'!$B$8,ROUND(('Growth Rules'!$B$4+'Growth Rules'!$B$5*($K18-'Growth Rules'!$B$6))*(E18/($K18/6))^'Growth Rules'!$B$7,0))</x:f>
        <x:v>65</x:v>
      </x:c>
      <x:c r="M18" s="64" t="n">
        <x:f>MAX('Growth Rules'!$B$8,ROUND(('Growth Rules'!$B$4+'Growth Rules'!$B$5*($K18-'Growth Rules'!$B$6))*(F18/($K18/6))^'Growth Rules'!$B$7,0))</x:f>
        <x:v>65</x:v>
      </x:c>
      <x:c r="N18" s="64" t="n">
        <x:f>MAX('Growth Rules'!$B$8,ROUND(('Growth Rules'!$B$4+'Growth Rules'!$B$5*($K18-'Growth Rules'!$B$6))*(G18/($K18/6))^'Growth Rules'!$B$7,0))</x:f>
        <x:v>110</x:v>
      </x:c>
      <x:c r="O18" s="64" t="n">
        <x:f>MAX('Growth Rules'!$B$8,ROUND(('Growth Rules'!$B$4+'Growth Rules'!$B$5*($K18-'Growth Rules'!$B$6))*(H18/($K18/6))^'Growth Rules'!$B$7,0))</x:f>
        <x:v>12</x:v>
      </x:c>
      <x:c r="P18" s="64" t="n">
        <x:f>MAX('Growth Rules'!$B$8,ROUND(('Growth Rules'!$B$4+'Growth Rules'!$B$5*($K18-'Growth Rules'!$B$6))*(I18/($K18/6))^'Growth Rules'!$B$7,0))</x:f>
        <x:v>33</x:v>
      </x:c>
      <x:c r="Q18" s="64" t="n">
        <x:f>MAX('Growth Rules'!$B$8,ROUND(('Growth Rules'!$B$4+'Growth Rules'!$B$5*($K18-'Growth Rules'!$B$6))*(J18/($K18/6))^'Growth Rules'!$B$7,0))</x:f>
        <x:v>12</x:v>
      </x:c>
      <x:c r="R18" s="66" t="n">
        <x:f>SUM(L18:Q18)/100</x:f>
        <x:v>2.97</x:v>
      </x:c>
      <x:c r="S18" s="62" t="str"/>
      <x:c r="T18" s="62" t="str"/>
      <x:c r="U18" s="62" t="str"/>
      <x:c r="V18" s="62" t="str"/>
      <x:c r="W18" s="62" t="str"/>
      <x:c r="X18" s="62" t="str"/>
      <x:c r="Y18" s="62" t="str">
        <x:v>Regional_Dex_Stats_and_Abilities_COMPLETE_v2.xlsx + Regional_Dex_Progression_Learnsets_v3.xlsx</x:v>
      </x:c>
    </x:row>
    <x:row r="19">
      <x:c r="A19" s="60" t="n">
        <x:v>16</x:v>
      </x:c>
      <x:c r="B19" s="62" t="str">
        <x:v>Tokenail</x:v>
      </x:c>
      <x:c r="C19" s="62" t="str">
        <x:v>Bug</x:v>
      </x:c>
      <x:c r="D19" s="62" t="str"/>
      <x:c r="E19" s="60" t="n">
        <x:v>55</x:v>
      </x:c>
      <x:c r="F19" s="60" t="n">
        <x:v>40</x:v>
      </x:c>
      <x:c r="G19" s="60" t="n">
        <x:v>55</x:v>
      </x:c>
      <x:c r="H19" s="60" t="n">
        <x:v>35</x:v>
      </x:c>
      <x:c r="I19" s="60" t="n">
        <x:v>75</x:v>
      </x:c>
      <x:c r="J19" s="60" t="n">
        <x:v>25</x:v>
      </x:c>
      <x:c r="K19" s="60" t="n">
        <x:v>285</x:v>
      </x:c>
      <x:c r="L19" s="64" t="n">
        <x:f>MAX('Growth Rules'!$B$8,ROUND(('Growth Rules'!$B$4+'Growth Rules'!$B$5*($K19-'Growth Rules'!$B$6))*(E19/($K19/6))^'Growth Rules'!$B$7,0))</x:f>
        <x:v>43</x:v>
      </x:c>
      <x:c r="M19" s="64" t="n">
        <x:f>MAX('Growth Rules'!$B$8,ROUND(('Growth Rules'!$B$4+'Growth Rules'!$B$5*($K19-'Growth Rules'!$B$6))*(F19/($K19/6))^'Growth Rules'!$B$7,0))</x:f>
        <x:v>21</x:v>
      </x:c>
      <x:c r="N19" s="64" t="n">
        <x:f>MAX('Growth Rules'!$B$8,ROUND(('Growth Rules'!$B$4+'Growth Rules'!$B$5*($K19-'Growth Rules'!$B$6))*(G19/($K19/6))^'Growth Rules'!$B$7,0))</x:f>
        <x:v>43</x:v>
      </x:c>
      <x:c r="O19" s="64" t="n">
        <x:f>MAX('Growth Rules'!$B$8,ROUND(('Growth Rules'!$B$4+'Growth Rules'!$B$5*($K19-'Growth Rules'!$B$6))*(H19/($K19/6))^'Growth Rules'!$B$7,0))</x:f>
        <x:v>16</x:v>
      </x:c>
      <x:c r="P19" s="64" t="n">
        <x:f>MAX('Growth Rules'!$B$8,ROUND(('Growth Rules'!$B$4+'Growth Rules'!$B$5*($K19-'Growth Rules'!$B$6))*(I19/($K19/6))^'Growth Rules'!$B$7,0))</x:f>
        <x:v>87</x:v>
      </x:c>
      <x:c r="Q19" s="64" t="n">
        <x:f>MAX('Growth Rules'!$B$8,ROUND(('Growth Rules'!$B$4+'Growth Rules'!$B$5*($K19-'Growth Rules'!$B$6))*(J19/($K19/6))^'Growth Rules'!$B$7,0))</x:f>
        <x:v>10</x:v>
      </x:c>
      <x:c r="R19" s="66" t="n">
        <x:f>SUM(L19:Q19)/100</x:f>
        <x:v>2.2</x:v>
      </x:c>
      <x:c r="S19" s="62" t="str">
        <x:v>Ampullusk</x:v>
      </x:c>
      <x:c r="T19" s="62" t="str">
        <x:v>LEVEL</x:v>
      </x:c>
      <x:c r="U19" s="62" t="str">
        <x:v>26</x:v>
      </x:c>
      <x:c r="V19" s="62" t="str"/>
      <x:c r="W19" s="62" t="str">
        <x:v>26</x:v>
      </x:c>
      <x:c r="X19" s="62" t="str">
        <x:v>KEEP EXISTING / VALIDATED</x:v>
      </x:c>
      <x:c r="Y19" s="62" t="str">
        <x:v>Regional_Dex_Stats_and_Abilities_COMPLETE_v2.xlsx + Regional_Dex_Progression_Learnsets_v3.xlsx</x:v>
      </x:c>
    </x:row>
    <x:row r="20">
      <x:c r="A20" s="60" t="n">
        <x:v>17</x:v>
      </x:c>
      <x:c r="B20" s="62" t="str">
        <x:v>Ampullusk</x:v>
      </x:c>
      <x:c r="C20" s="62" t="str">
        <x:v>Bug</x:v>
      </x:c>
      <x:c r="D20" s="62" t="str">
        <x:v>Steel</x:v>
      </x:c>
      <x:c r="E20" s="60" t="n">
        <x:v>100</x:v>
      </x:c>
      <x:c r="F20" s="60" t="n">
        <x:v>45</x:v>
      </x:c>
      <x:c r="G20" s="60" t="n">
        <x:v>100</x:v>
      </x:c>
      <x:c r="H20" s="60" t="n">
        <x:v>70</x:v>
      </x:c>
      <x:c r="I20" s="60" t="n">
        <x:v>120</x:v>
      </x:c>
      <x:c r="J20" s="60" t="n">
        <x:v>30</x:v>
      </x:c>
      <x:c r="K20" s="60" t="n">
        <x:v>465</x:v>
      </x:c>
      <x:c r="L20" s="64" t="n">
        <x:f>MAX('Growth Rules'!$B$8,ROUND(('Growth Rules'!$B$4+'Growth Rules'!$B$5*($K20-'Growth Rules'!$B$6))*(E20/($K20/6))^'Growth Rules'!$B$7,0))</x:f>
        <x:v>74</x:v>
      </x:c>
      <x:c r="M20" s="64" t="n">
        <x:f>MAX('Growth Rules'!$B$8,ROUND(('Growth Rules'!$B$4+'Growth Rules'!$B$5*($K20-'Growth Rules'!$B$6))*(F20/($K20/6))^'Growth Rules'!$B$7,0))</x:f>
        <x:v>12</x:v>
      </x:c>
      <x:c r="N20" s="64" t="n">
        <x:f>MAX('Growth Rules'!$B$8,ROUND(('Growth Rules'!$B$4+'Growth Rules'!$B$5*($K20-'Growth Rules'!$B$6))*(G20/($K20/6))^'Growth Rules'!$B$7,0))</x:f>
        <x:v>74</x:v>
      </x:c>
      <x:c r="O20" s="64" t="n">
        <x:f>MAX('Growth Rules'!$B$8,ROUND(('Growth Rules'!$B$4+'Growth Rules'!$B$5*($K20-'Growth Rules'!$B$6))*(H20/($K20/6))^'Growth Rules'!$B$7,0))</x:f>
        <x:v>33</x:v>
      </x:c>
      <x:c r="P20" s="64" t="n">
        <x:f>MAX('Growth Rules'!$B$8,ROUND(('Growth Rules'!$B$4+'Growth Rules'!$B$5*($K20-'Growth Rules'!$B$6))*(I20/($K20/6))^'Growth Rules'!$B$7,0))</x:f>
        <x:v>112</x:v>
      </x:c>
      <x:c r="Q20" s="64" t="n">
        <x:f>MAX('Growth Rules'!$B$8,ROUND(('Growth Rules'!$B$4+'Growth Rules'!$B$5*($K20-'Growth Rules'!$B$6))*(J20/($K20/6))^'Growth Rules'!$B$7,0))</x:f>
        <x:v>10</x:v>
      </x:c>
      <x:c r="R20" s="66" t="n">
        <x:f>SUM(L20:Q20)/100</x:f>
        <x:v>3.15</x:v>
      </x:c>
      <x:c r="S20" s="62" t="str"/>
      <x:c r="T20" s="62" t="str"/>
      <x:c r="U20" s="62" t="str"/>
      <x:c r="V20" s="62" t="str"/>
      <x:c r="W20" s="62" t="str"/>
      <x:c r="X20" s="62" t="str"/>
      <x:c r="Y20" s="62" t="str">
        <x:v>Regional_Dex_Stats_and_Abilities_COMPLETE_v2.xlsx + Regional_Dex_Progression_Learnsets_v3.xlsx</x:v>
      </x:c>
    </x:row>
    <x:row r="21">
      <x:c r="A21" s="60" t="n">
        <x:v>18</x:v>
      </x:c>
      <x:c r="B21" s="62" t="str">
        <x:v>Rouncolt</x:v>
      </x:c>
      <x:c r="C21" s="62" t="str">
        <x:v>Normal</x:v>
      </x:c>
      <x:c r="D21" s="62" t="str"/>
      <x:c r="E21" s="60" t="n">
        <x:v>50</x:v>
      </x:c>
      <x:c r="F21" s="60" t="n">
        <x:v>55</x:v>
      </x:c>
      <x:c r="G21" s="60" t="n">
        <x:v>45</x:v>
      </x:c>
      <x:c r="H21" s="60" t="n">
        <x:v>35</x:v>
      </x:c>
      <x:c r="I21" s="60" t="n">
        <x:v>55</x:v>
      </x:c>
      <x:c r="J21" s="60" t="n">
        <x:v>60</x:v>
      </x:c>
      <x:c r="K21" s="60" t="n">
        <x:v>300</x:v>
      </x:c>
      <x:c r="L21" s="64" t="n">
        <x:f>MAX('Growth Rules'!$B$8,ROUND(('Growth Rules'!$B$4+'Growth Rules'!$B$5*($K21-'Growth Rules'!$B$6))*(E21/($K21/6))^'Growth Rules'!$B$7,0))</x:f>
        <x:v>32</x:v>
      </x:c>
      <x:c r="M21" s="64" t="n">
        <x:f>MAX('Growth Rules'!$B$8,ROUND(('Growth Rules'!$B$4+'Growth Rules'!$B$5*($K21-'Growth Rules'!$B$6))*(F21/($K21/6))^'Growth Rules'!$B$7,0))</x:f>
        <x:v>40</x:v>
      </x:c>
      <x:c r="N21" s="64" t="n">
        <x:f>MAX('Growth Rules'!$B$8,ROUND(('Growth Rules'!$B$4+'Growth Rules'!$B$5*($K21-'Growth Rules'!$B$6))*(G21/($K21/6))^'Growth Rules'!$B$7,0))</x:f>
        <x:v>25</x:v>
      </x:c>
      <x:c r="O21" s="64" t="n">
        <x:f>MAX('Growth Rules'!$B$8,ROUND(('Growth Rules'!$B$4+'Growth Rules'!$B$5*($K21-'Growth Rules'!$B$6))*(H21/($K21/6))^'Growth Rules'!$B$7,0))</x:f>
        <x:v>14</x:v>
      </x:c>
      <x:c r="P21" s="64" t="n">
        <x:f>MAX('Growth Rules'!$B$8,ROUND(('Growth Rules'!$B$4+'Growth Rules'!$B$5*($K21-'Growth Rules'!$B$6))*(I21/($K21/6))^'Growth Rules'!$B$7,0))</x:f>
        <x:v>40</x:v>
      </x:c>
      <x:c r="Q21" s="64" t="n">
        <x:f>MAX('Growth Rules'!$B$8,ROUND(('Growth Rules'!$B$4+'Growth Rules'!$B$5*($K21-'Growth Rules'!$B$6))*(J21/($K21/6))^'Growth Rules'!$B$7,0))</x:f>
        <x:v>48</x:v>
      </x:c>
      <x:c r="R21" s="66" t="n">
        <x:f>SUM(L21:Q21)/100</x:f>
        <x:v>1.99</x:v>
      </x:c>
      <x:c r="S21" s="62" t="str">
        <x:v>Coursire</x:v>
      </x:c>
      <x:c r="T21" s="62" t="str">
        <x:v>LEVEL</x:v>
      </x:c>
      <x:c r="U21" s="62" t="str">
        <x:v>20</x:v>
      </x:c>
      <x:c r="V21" s="62" t="str"/>
      <x:c r="W21" s="62" t="str">
        <x:v>20</x:v>
      </x:c>
      <x:c r="X21" s="62" t="str">
        <x:v>KEEP EXISTING / VALIDATED</x:v>
      </x:c>
      <x:c r="Y21" s="62" t="str">
        <x:v>Regional_Dex_Stats_and_Abilities_COMPLETE_v2.xlsx + Regional_Dex_Progression_Learnsets_v3.xlsx</x:v>
      </x:c>
    </x:row>
    <x:row r="22">
      <x:c r="A22" s="60" t="n">
        <x:v>19</x:v>
      </x:c>
      <x:c r="B22" s="62" t="str">
        <x:v>Coursire</x:v>
      </x:c>
      <x:c r="C22" s="62" t="str">
        <x:v>Ground</x:v>
      </x:c>
      <x:c r="D22" s="62" t="str"/>
      <x:c r="E22" s="60" t="n">
        <x:v>65</x:v>
      </x:c>
      <x:c r="F22" s="60" t="n">
        <x:v>85</x:v>
      </x:c>
      <x:c r="G22" s="60" t="n">
        <x:v>65</x:v>
      </x:c>
      <x:c r="H22" s="60" t="n">
        <x:v>40</x:v>
      </x:c>
      <x:c r="I22" s="60" t="n">
        <x:v>65</x:v>
      </x:c>
      <x:c r="J22" s="60" t="n">
        <x:v>85</x:v>
      </x:c>
      <x:c r="K22" s="60" t="n">
        <x:v>405</x:v>
      </x:c>
      <x:c r="L22" s="64" t="n">
        <x:f>MAX('Growth Rules'!$B$8,ROUND(('Growth Rules'!$B$4+'Growth Rules'!$B$5*($K22-'Growth Rules'!$B$6))*(E22/($K22/6))^'Growth Rules'!$B$7,0))</x:f>
        <x:v>35</x:v>
      </x:c>
      <x:c r="M22" s="64" t="n">
        <x:f>MAX('Growth Rules'!$B$8,ROUND(('Growth Rules'!$B$4+'Growth Rules'!$B$5*($K22-'Growth Rules'!$B$6))*(F22/($K22/6))^'Growth Rules'!$B$7,0))</x:f>
        <x:v>64</x:v>
      </x:c>
      <x:c r="N22" s="64" t="n">
        <x:f>MAX('Growth Rules'!$B$8,ROUND(('Growth Rules'!$B$4+'Growth Rules'!$B$5*($K22-'Growth Rules'!$B$6))*(G22/($K22/6))^'Growth Rules'!$B$7,0))</x:f>
        <x:v>35</x:v>
      </x:c>
      <x:c r="O22" s="64" t="n">
        <x:f>MAX('Growth Rules'!$B$8,ROUND(('Growth Rules'!$B$4+'Growth Rules'!$B$5*($K22-'Growth Rules'!$B$6))*(H22/($K22/6))^'Growth Rules'!$B$7,0))</x:f>
        <x:v>12</x:v>
      </x:c>
      <x:c r="P22" s="64" t="n">
        <x:f>MAX('Growth Rules'!$B$8,ROUND(('Growth Rules'!$B$4+'Growth Rules'!$B$5*($K22-'Growth Rules'!$B$6))*(I22/($K22/6))^'Growth Rules'!$B$7,0))</x:f>
        <x:v>35</x:v>
      </x:c>
      <x:c r="Q22" s="64" t="n">
        <x:f>MAX('Growth Rules'!$B$8,ROUND(('Growth Rules'!$B$4+'Growth Rules'!$B$5*($K22-'Growth Rules'!$B$6))*(J22/($K22/6))^'Growth Rules'!$B$7,0))</x:f>
        <x:v>64</x:v>
      </x:c>
      <x:c r="R22" s="66" t="n">
        <x:f>SUM(L22:Q22)/100</x:f>
        <x:v>2.45</x:v>
      </x:c>
      <x:c r="S22" s="62" t="str">
        <x:v>Destridon</x:v>
      </x:c>
      <x:c r="T22" s="62" t="str">
        <x:v>LEVEL</x:v>
      </x:c>
      <x:c r="U22" s="62" t="str">
        <x:v>38</x:v>
      </x:c>
      <x:c r="V22" s="62" t="str"/>
      <x:c r="W22" s="62" t="str">
        <x:v>38</x:v>
      </x:c>
      <x:c r="X22" s="62" t="str">
        <x:v>KEEP EXISTING / VALIDATED</x:v>
      </x:c>
      <x:c r="Y22" s="62" t="str">
        <x:v>Regional_Dex_Stats_and_Abilities_COMPLETE_v2.xlsx + Regional_Dex_Progression_Learnsets_v3.xlsx</x:v>
      </x:c>
    </x:row>
    <x:row r="23">
      <x:c r="A23" s="60" t="n">
        <x:v>20</x:v>
      </x:c>
      <x:c r="B23" s="62" t="str">
        <x:v>Destridon</x:v>
      </x:c>
      <x:c r="C23" s="62" t="str">
        <x:v>Ground</x:v>
      </x:c>
      <x:c r="D23" s="62" t="str">
        <x:v>Steel</x:v>
      </x:c>
      <x:c r="E23" s="60" t="n">
        <x:v>100</x:v>
      </x:c>
      <x:c r="F23" s="60" t="n">
        <x:v>100</x:v>
      </x:c>
      <x:c r="G23" s="60" t="n">
        <x:v>100</x:v>
      </x:c>
      <x:c r="H23" s="60" t="n">
        <x:v>50</x:v>
      </x:c>
      <x:c r="I23" s="60" t="n">
        <x:v>90</x:v>
      </x:c>
      <x:c r="J23" s="60" t="n">
        <x:v>75</x:v>
      </x:c>
      <x:c r="K23" s="60" t="n">
        <x:v>515</x:v>
      </x:c>
      <x:c r="L23" s="64" t="n">
        <x:f>MAX('Growth Rules'!$B$8,ROUND(('Growth Rules'!$B$4+'Growth Rules'!$B$5*($K23-'Growth Rules'!$B$6))*(E23/($K23/6))^'Growth Rules'!$B$7,0))</x:f>
        <x:v>63</x:v>
      </x:c>
      <x:c r="M23" s="64" t="n">
        <x:f>MAX('Growth Rules'!$B$8,ROUND(('Growth Rules'!$B$4+'Growth Rules'!$B$5*($K23-'Growth Rules'!$B$6))*(F23/($K23/6))^'Growth Rules'!$B$7,0))</x:f>
        <x:v>63</x:v>
      </x:c>
      <x:c r="N23" s="64" t="n">
        <x:f>MAX('Growth Rules'!$B$8,ROUND(('Growth Rules'!$B$4+'Growth Rules'!$B$5*($K23-'Growth Rules'!$B$6))*(G23/($K23/6))^'Growth Rules'!$B$7,0))</x:f>
        <x:v>63</x:v>
      </x:c>
      <x:c r="O23" s="64" t="n">
        <x:f>MAX('Growth Rules'!$B$8,ROUND(('Growth Rules'!$B$4+'Growth Rules'!$B$5*($K23-'Growth Rules'!$B$6))*(H23/($K23/6))^'Growth Rules'!$B$7,0))</x:f>
        <x:v>13</x:v>
      </x:c>
      <x:c r="P23" s="64" t="n">
        <x:f>MAX('Growth Rules'!$B$8,ROUND(('Growth Rules'!$B$4+'Growth Rules'!$B$5*($K23-'Growth Rules'!$B$6))*(I23/($K23/6))^'Growth Rules'!$B$7,0))</x:f>
        <x:v>50</x:v>
      </x:c>
      <x:c r="Q23" s="64" t="n">
        <x:f>MAX('Growth Rules'!$B$8,ROUND(('Growth Rules'!$B$4+'Growth Rules'!$B$5*($K23-'Growth Rules'!$B$6))*(J23/($K23/6))^'Growth Rules'!$B$7,0))</x:f>
        <x:v>33</x:v>
      </x:c>
      <x:c r="R23" s="66" t="n">
        <x:f>SUM(L23:Q23)/100</x:f>
        <x:v>2.85</x:v>
      </x:c>
      <x:c r="S23" s="62" t="str"/>
      <x:c r="T23" s="62" t="str"/>
      <x:c r="U23" s="62" t="str"/>
      <x:c r="V23" s="62" t="str"/>
      <x:c r="W23" s="62" t="str"/>
      <x:c r="X23" s="62" t="str"/>
      <x:c r="Y23" s="62" t="str">
        <x:v>Regional_Dex_Stats_and_Abilities_COMPLETE_v2.xlsx + Regional_Dex_Progression_Learnsets_v3.xlsx</x:v>
      </x:c>
    </x:row>
    <x:row r="24">
      <x:c r="A24" s="60" t="n">
        <x:v>21</x:v>
      </x:c>
      <x:c r="B24" s="62" t="str">
        <x:v>Keelcrab</x:v>
      </x:c>
      <x:c r="C24" s="62" t="str">
        <x:v>Water</x:v>
      </x:c>
      <x:c r="D24" s="62" t="str"/>
      <x:c r="E24" s="60" t="n">
        <x:v>55</x:v>
      </x:c>
      <x:c r="F24" s="60" t="n">
        <x:v>55</x:v>
      </x:c>
      <x:c r="G24" s="60" t="n">
        <x:v>70</x:v>
      </x:c>
      <x:c r="H24" s="60" t="n">
        <x:v>35</x:v>
      </x:c>
      <x:c r="I24" s="60" t="n">
        <x:v>50</x:v>
      </x:c>
      <x:c r="J24" s="60" t="n">
        <x:v>35</x:v>
      </x:c>
      <x:c r="K24" s="60" t="n">
        <x:v>300</x:v>
      </x:c>
      <x:c r="L24" s="64" t="n">
        <x:f>MAX('Growth Rules'!$B$8,ROUND(('Growth Rules'!$B$4+'Growth Rules'!$B$5*($K24-'Growth Rules'!$B$6))*(E24/($K24/6))^'Growth Rules'!$B$7,0))</x:f>
        <x:v>40</x:v>
      </x:c>
      <x:c r="M24" s="64" t="n">
        <x:f>MAX('Growth Rules'!$B$8,ROUND(('Growth Rules'!$B$4+'Growth Rules'!$B$5*($K24-'Growth Rules'!$B$6))*(F24/($K24/6))^'Growth Rules'!$B$7,0))</x:f>
        <x:v>40</x:v>
      </x:c>
      <x:c r="N24" s="64" t="n">
        <x:f>MAX('Growth Rules'!$B$8,ROUND(('Growth Rules'!$B$4+'Growth Rules'!$B$5*($K24-'Growth Rules'!$B$6))*(G24/($K24/6))^'Growth Rules'!$B$7,0))</x:f>
        <x:v>68</x:v>
      </x:c>
      <x:c r="O24" s="64" t="n">
        <x:f>MAX('Growth Rules'!$B$8,ROUND(('Growth Rules'!$B$4+'Growth Rules'!$B$5*($K24-'Growth Rules'!$B$6))*(H24/($K24/6))^'Growth Rules'!$B$7,0))</x:f>
        <x:v>14</x:v>
      </x:c>
      <x:c r="P24" s="64" t="n">
        <x:f>MAX('Growth Rules'!$B$8,ROUND(('Growth Rules'!$B$4+'Growth Rules'!$B$5*($K24-'Growth Rules'!$B$6))*(I24/($K24/6))^'Growth Rules'!$B$7,0))</x:f>
        <x:v>32</x:v>
      </x:c>
      <x:c r="Q24" s="64" t="n">
        <x:f>MAX('Growth Rules'!$B$8,ROUND(('Growth Rules'!$B$4+'Growth Rules'!$B$5*($K24-'Growth Rules'!$B$6))*(J24/($K24/6))^'Growth Rules'!$B$7,0))</x:f>
        <x:v>14</x:v>
      </x:c>
      <x:c r="R24" s="66" t="n">
        <x:f>SUM(L24:Q24)/100</x:f>
        <x:v>2.08</x:v>
      </x:c>
      <x:c r="S24" s="62" t="str">
        <x:v>Galleonid</x:v>
      </x:c>
      <x:c r="T24" s="62" t="str">
        <x:v>LEVEL</x:v>
      </x:c>
      <x:c r="U24" s="62" t="str">
        <x:v>26</x:v>
      </x:c>
      <x:c r="V24" s="62" t="str"/>
      <x:c r="W24" s="62" t="str">
        <x:v>26</x:v>
      </x:c>
      <x:c r="X24" s="62" t="str">
        <x:v>KEEP EXISTING / VALIDATED</x:v>
      </x:c>
      <x:c r="Y24" s="62" t="str">
        <x:v>Regional_Dex_Stats_and_Abilities_COMPLETE_v2.xlsx + Regional_Dex_Progression_Learnsets_v3.xlsx</x:v>
      </x:c>
    </x:row>
    <x:row r="25">
      <x:c r="A25" s="60" t="n">
        <x:v>22</x:v>
      </x:c>
      <x:c r="B25" s="62" t="str">
        <x:v>Galleonid</x:v>
      </x:c>
      <x:c r="C25" s="62" t="str">
        <x:v>Water</x:v>
      </x:c>
      <x:c r="D25" s="62" t="str">
        <x:v>Ghost</x:v>
      </x:c>
      <x:c r="E25" s="60" t="n">
        <x:v>95</x:v>
      </x:c>
      <x:c r="F25" s="60" t="n">
        <x:v>100</x:v>
      </x:c>
      <x:c r="G25" s="60" t="n">
        <x:v>95</x:v>
      </x:c>
      <x:c r="H25" s="60" t="n">
        <x:v>70</x:v>
      </x:c>
      <x:c r="I25" s="60" t="n">
        <x:v>95</x:v>
      </x:c>
      <x:c r="J25" s="60" t="n">
        <x:v>45</x:v>
      </x:c>
      <x:c r="K25" s="60" t="n">
        <x:v>500</x:v>
      </x:c>
      <x:c r="L25" s="64" t="n">
        <x:f>MAX('Growth Rules'!$B$8,ROUND(('Growth Rules'!$B$4+'Growth Rules'!$B$5*($K25-'Growth Rules'!$B$6))*(E25/($K25/6))^'Growth Rules'!$B$7,0))</x:f>
        <x:v>59</x:v>
      </x:c>
      <x:c r="M25" s="64" t="n">
        <x:f>MAX('Growth Rules'!$B$8,ROUND(('Growth Rules'!$B$4+'Growth Rules'!$B$5*($K25-'Growth Rules'!$B$6))*(F25/($K25/6))^'Growth Rules'!$B$7,0))</x:f>
        <x:v>66</x:v>
      </x:c>
      <x:c r="N25" s="64" t="n">
        <x:f>MAX('Growth Rules'!$B$8,ROUND(('Growth Rules'!$B$4+'Growth Rules'!$B$5*($K25-'Growth Rules'!$B$6))*(G25/($K25/6))^'Growth Rules'!$B$7,0))</x:f>
        <x:v>59</x:v>
      </x:c>
      <x:c r="O25" s="64" t="n">
        <x:f>MAX('Growth Rules'!$B$8,ROUND(('Growth Rules'!$B$4+'Growth Rules'!$B$5*($K25-'Growth Rules'!$B$6))*(H25/($K25/6))^'Growth Rules'!$B$7,0))</x:f>
        <x:v>30</x:v>
      </x:c>
      <x:c r="P25" s="64" t="n">
        <x:f>MAX('Growth Rules'!$B$8,ROUND(('Growth Rules'!$B$4+'Growth Rules'!$B$5*($K25-'Growth Rules'!$B$6))*(I25/($K25/6))^'Growth Rules'!$B$7,0))</x:f>
        <x:v>59</x:v>
      </x:c>
      <x:c r="Q25" s="64" t="n">
        <x:f>MAX('Growth Rules'!$B$8,ROUND(('Growth Rules'!$B$4+'Growth Rules'!$B$5*($K25-'Growth Rules'!$B$6))*(J25/($K25/6))^'Growth Rules'!$B$7,0))</x:f>
        <x:v>11</x:v>
      </x:c>
      <x:c r="R25" s="66" t="n">
        <x:f>SUM(L25:Q25)/100</x:f>
        <x:v>2.84</x:v>
      </x:c>
      <x:c r="S25" s="62" t="str"/>
      <x:c r="T25" s="62" t="str"/>
      <x:c r="U25" s="62" t="str"/>
      <x:c r="V25" s="62" t="str"/>
      <x:c r="W25" s="62" t="str"/>
      <x:c r="X25" s="62" t="str"/>
      <x:c r="Y25" s="62" t="str">
        <x:v>Regional_Dex_Stats_and_Abilities_COMPLETE_v2.xlsx + Regional_Dex_Progression_Learnsets_v3.xlsx</x:v>
      </x:c>
    </x:row>
    <x:row r="26">
      <x:c r="A26" s="60" t="n">
        <x:v>23</x:v>
      </x:c>
      <x:c r="B26" s="62" t="str">
        <x:v>Wickmidge</x:v>
      </x:c>
      <x:c r="C26" s="62" t="str">
        <x:v>Bug</x:v>
      </x:c>
      <x:c r="D26" s="62" t="str">
        <x:v>Fire</x:v>
      </x:c>
      <x:c r="E26" s="60" t="n">
        <x:v>35</x:v>
      </x:c>
      <x:c r="F26" s="60" t="n">
        <x:v>35</x:v>
      </x:c>
      <x:c r="G26" s="60" t="n">
        <x:v>35</x:v>
      </x:c>
      <x:c r="H26" s="60" t="n">
        <x:v>70</x:v>
      </x:c>
      <x:c r="I26" s="60" t="n">
        <x:v>55</x:v>
      </x:c>
      <x:c r="J26" s="60" t="n">
        <x:v>70</x:v>
      </x:c>
      <x:c r="K26" s="60" t="n">
        <x:v>300</x:v>
      </x:c>
      <x:c r="L26" s="64" t="n">
        <x:f>MAX('Growth Rules'!$B$8,ROUND(('Growth Rules'!$B$4+'Growth Rules'!$B$5*($K26-'Growth Rules'!$B$6))*(E26/($K26/6))^'Growth Rules'!$B$7,0))</x:f>
        <x:v>14</x:v>
      </x:c>
      <x:c r="M26" s="64" t="n">
        <x:f>MAX('Growth Rules'!$B$8,ROUND(('Growth Rules'!$B$4+'Growth Rules'!$B$5*($K26-'Growth Rules'!$B$6))*(F26/($K26/6))^'Growth Rules'!$B$7,0))</x:f>
        <x:v>14</x:v>
      </x:c>
      <x:c r="N26" s="64" t="n">
        <x:f>MAX('Growth Rules'!$B$8,ROUND(('Growth Rules'!$B$4+'Growth Rules'!$B$5*($K26-'Growth Rules'!$B$6))*(G26/($K26/6))^'Growth Rules'!$B$7,0))</x:f>
        <x:v>14</x:v>
      </x:c>
      <x:c r="O26" s="64" t="n">
        <x:f>MAX('Growth Rules'!$B$8,ROUND(('Growth Rules'!$B$4+'Growth Rules'!$B$5*($K26-'Growth Rules'!$B$6))*(H26/($K26/6))^'Growth Rules'!$B$7,0))</x:f>
        <x:v>68</x:v>
      </x:c>
      <x:c r="P26" s="64" t="n">
        <x:f>MAX('Growth Rules'!$B$8,ROUND(('Growth Rules'!$B$4+'Growth Rules'!$B$5*($K26-'Growth Rules'!$B$6))*(I26/($K26/6))^'Growth Rules'!$B$7,0))</x:f>
        <x:v>40</x:v>
      </x:c>
      <x:c r="Q26" s="64" t="n">
        <x:f>MAX('Growth Rules'!$B$8,ROUND(('Growth Rules'!$B$4+'Growth Rules'!$B$5*($K26-'Growth Rules'!$B$6))*(J26/($K26/6))^'Growth Rules'!$B$7,0))</x:f>
        <x:v>68</x:v>
      </x:c>
      <x:c r="R26" s="66" t="n">
        <x:f>SUM(L26:Q26)/100</x:f>
        <x:v>2.18</x:v>
      </x:c>
      <x:c r="S26" s="62" t="str">
        <x:v>Vesperyre</x:v>
      </x:c>
      <x:c r="T26" s="62" t="str">
        <x:v>LEVEL</x:v>
      </x:c>
      <x:c r="U26" s="62" t="str">
        <x:v>26</x:v>
      </x:c>
      <x:c r="V26" s="62" t="str"/>
      <x:c r="W26" s="62" t="str">
        <x:v>26</x:v>
      </x:c>
      <x:c r="X26" s="62" t="str">
        <x:v>KEEP EXISTING / VALIDATED</x:v>
      </x:c>
      <x:c r="Y26" s="62" t="str">
        <x:v>Regional_Dex_Stats_and_Abilities_COMPLETE_v2.xlsx + Regional_Dex_Progression_Learnsets_v3.xlsx</x:v>
      </x:c>
    </x:row>
    <x:row r="27">
      <x:c r="A27" s="60" t="n">
        <x:v>24</x:v>
      </x:c>
      <x:c r="B27" s="62" t="str">
        <x:v>Vesperyre</x:v>
      </x:c>
      <x:c r="C27" s="62" t="str">
        <x:v>Bug</x:v>
      </x:c>
      <x:c r="D27" s="62" t="str">
        <x:v>Ghost</x:v>
      </x:c>
      <x:c r="E27" s="60" t="n">
        <x:v>75</x:v>
      </x:c>
      <x:c r="F27" s="60" t="n">
        <x:v>50</x:v>
      </x:c>
      <x:c r="G27" s="60" t="n">
        <x:v>60</x:v>
      </x:c>
      <x:c r="H27" s="60" t="n">
        <x:v>100</x:v>
      </x:c>
      <x:c r="I27" s="60" t="n">
        <x:v>100</x:v>
      </x:c>
      <x:c r="J27" s="60" t="n">
        <x:v>105</x:v>
      </x:c>
      <x:c r="K27" s="60" t="n">
        <x:v>490</x:v>
      </x:c>
      <x:c r="L27" s="64" t="n">
        <x:f>MAX('Growth Rules'!$B$8,ROUND(('Growth Rules'!$B$4+'Growth Rules'!$B$5*($K27-'Growth Rules'!$B$6))*(E27/($K27/6))^'Growth Rules'!$B$7,0))</x:f>
        <x:v>36</x:v>
      </x:c>
      <x:c r="M27" s="64" t="n">
        <x:f>MAX('Growth Rules'!$B$8,ROUND(('Growth Rules'!$B$4+'Growth Rules'!$B$5*($K27-'Growth Rules'!$B$6))*(F27/($K27/6))^'Growth Rules'!$B$7,0))</x:f>
        <x:v>14</x:v>
      </x:c>
      <x:c r="N27" s="64" t="n">
        <x:f>MAX('Growth Rules'!$B$8,ROUND(('Growth Rules'!$B$4+'Growth Rules'!$B$5*($K27-'Growth Rules'!$B$6))*(G27/($K27/6))^'Growth Rules'!$B$7,0))</x:f>
        <x:v>22</x:v>
      </x:c>
      <x:c r="O27" s="64" t="n">
        <x:f>MAX('Growth Rules'!$B$8,ROUND(('Growth Rules'!$B$4+'Growth Rules'!$B$5*($K27-'Growth Rules'!$B$6))*(H27/($K27/6))^'Growth Rules'!$B$7,0))</x:f>
        <x:v>68</x:v>
      </x:c>
      <x:c r="P27" s="64" t="n">
        <x:f>MAX('Growth Rules'!$B$8,ROUND(('Growth Rules'!$B$4+'Growth Rules'!$B$5*($K27-'Growth Rules'!$B$6))*(I27/($K27/6))^'Growth Rules'!$B$7,0))</x:f>
        <x:v>68</x:v>
      </x:c>
      <x:c r="Q27" s="64" t="n">
        <x:f>MAX('Growth Rules'!$B$8,ROUND(('Growth Rules'!$B$4+'Growth Rules'!$B$5*($K27-'Growth Rules'!$B$6))*(J27/($K27/6))^'Growth Rules'!$B$7,0))</x:f>
        <x:v>76</x:v>
      </x:c>
      <x:c r="R27" s="66" t="n">
        <x:f>SUM(L27:Q27)/100</x:f>
        <x:v>2.84</x:v>
      </x:c>
      <x:c r="S27" s="62" t="str"/>
      <x:c r="T27" s="62" t="str"/>
      <x:c r="U27" s="62" t="str"/>
      <x:c r="V27" s="62" t="str"/>
      <x:c r="W27" s="62" t="str"/>
      <x:c r="X27" s="62" t="str"/>
      <x:c r="Y27" s="62" t="str">
        <x:v>Regional_Dex_Stats_and_Abilities_COMPLETE_v2.xlsx + Regional_Dex_Progression_Learnsets_v3.xlsx</x:v>
      </x:c>
    </x:row>
    <x:row r="28">
      <x:c r="A28" s="60" t="n">
        <x:v>25</x:v>
      </x:c>
      <x:c r="B28" s="62" t="str">
        <x:v>Caprune</x:v>
      </x:c>
      <x:c r="C28" s="62" t="str">
        <x:v>Rock</x:v>
      </x:c>
      <x:c r="D28" s="62" t="str"/>
      <x:c r="E28" s="60" t="n">
        <x:v>50</x:v>
      </x:c>
      <x:c r="F28" s="60" t="n">
        <x:v>55</x:v>
      </x:c>
      <x:c r="G28" s="60" t="n">
        <x:v>65</x:v>
      </x:c>
      <x:c r="H28" s="60" t="n">
        <x:v>30</x:v>
      </x:c>
      <x:c r="I28" s="60" t="n">
        <x:v>50</x:v>
      </x:c>
      <x:c r="J28" s="60" t="n">
        <x:v>55</x:v>
      </x:c>
      <x:c r="K28" s="60" t="n">
        <x:v>305</x:v>
      </x:c>
      <x:c r="L28" s="64" t="n">
        <x:f>MAX('Growth Rules'!$B$8,ROUND(('Growth Rules'!$B$4+'Growth Rules'!$B$5*($K28-'Growth Rules'!$B$6))*(E28/($K28/6))^'Growth Rules'!$B$7,0))</x:f>
        <x:v>31</x:v>
      </x:c>
      <x:c r="M28" s="64" t="n">
        <x:f>MAX('Growth Rules'!$B$8,ROUND(('Growth Rules'!$B$4+'Growth Rules'!$B$5*($K28-'Growth Rules'!$B$6))*(F28/($K28/6))^'Growth Rules'!$B$7,0))</x:f>
        <x:v>39</x:v>
      </x:c>
      <x:c r="N28" s="64" t="n">
        <x:f>MAX('Growth Rules'!$B$8,ROUND(('Growth Rules'!$B$4+'Growth Rules'!$B$5*($K28-'Growth Rules'!$B$6))*(G28/($K28/6))^'Growth Rules'!$B$7,0))</x:f>
        <x:v>56</x:v>
      </x:c>
      <x:c r="O28" s="64" t="n">
        <x:f>MAX('Growth Rules'!$B$8,ROUND(('Growth Rules'!$B$4+'Growth Rules'!$B$5*($K28-'Growth Rules'!$B$6))*(H28/($K28/6))^'Growth Rules'!$B$7,0))</x:f>
        <x:v>10</x:v>
      </x:c>
      <x:c r="P28" s="64" t="n">
        <x:f>MAX('Growth Rules'!$B$8,ROUND(('Growth Rules'!$B$4+'Growth Rules'!$B$5*($K28-'Growth Rules'!$B$6))*(I28/($K28/6))^'Growth Rules'!$B$7,0))</x:f>
        <x:v>31</x:v>
      </x:c>
      <x:c r="Q28" s="64" t="n">
        <x:f>MAX('Growth Rules'!$B$8,ROUND(('Growth Rules'!$B$4+'Growth Rules'!$B$5*($K28-'Growth Rules'!$B$6))*(J28/($K28/6))^'Growth Rules'!$B$7,0))</x:f>
        <x:v>39</x:v>
      </x:c>
      <x:c r="R28" s="66" t="n">
        <x:f>SUM(L28:Q28)/100</x:f>
        <x:v>2.06</x:v>
      </x:c>
      <x:c r="S28" s="62" t="str">
        <x:v>Ibracle</x:v>
      </x:c>
      <x:c r="T28" s="62" t="str">
        <x:v>LEVEL</x:v>
      </x:c>
      <x:c r="U28" s="62" t="str">
        <x:v>26</x:v>
      </x:c>
      <x:c r="V28" s="62" t="str"/>
      <x:c r="W28" s="62" t="str">
        <x:v>26</x:v>
      </x:c>
      <x:c r="X28" s="62" t="str">
        <x:v>KEEP EXISTING / VALIDATED</x:v>
      </x:c>
      <x:c r="Y28" s="62" t="str">
        <x:v>Regional_Dex_Stats_and_Abilities_COMPLETE_v2.xlsx + Regional_Dex_Progression_Learnsets_v3.xlsx</x:v>
      </x:c>
    </x:row>
    <x:row r="29">
      <x:c r="A29" s="60" t="n">
        <x:v>26</x:v>
      </x:c>
      <x:c r="B29" s="62" t="str">
        <x:v>Ibracle</x:v>
      </x:c>
      <x:c r="C29" s="62" t="str">
        <x:v>Rock</x:v>
      </x:c>
      <x:c r="D29" s="62" t="str">
        <x:v>Psychic</x:v>
      </x:c>
      <x:c r="E29" s="60" t="n">
        <x:v>90</x:v>
      </x:c>
      <x:c r="F29" s="60" t="n">
        <x:v>90</x:v>
      </x:c>
      <x:c r="G29" s="60" t="n">
        <x:v>90</x:v>
      </x:c>
      <x:c r="H29" s="60" t="n">
        <x:v>80</x:v>
      </x:c>
      <x:c r="I29" s="60" t="n">
        <x:v>90</x:v>
      </x:c>
      <x:c r="J29" s="60" t="n">
        <x:v>70</x:v>
      </x:c>
      <x:c r="K29" s="60" t="n">
        <x:v>510</x:v>
      </x:c>
      <x:c r="L29" s="64" t="n">
        <x:f>MAX('Growth Rules'!$B$8,ROUND(('Growth Rules'!$B$4+'Growth Rules'!$B$5*($K29-'Growth Rules'!$B$6))*(E29/($K29/6))^'Growth Rules'!$B$7,0))</x:f>
        <x:v>51</x:v>
      </x:c>
      <x:c r="M29" s="64" t="n">
        <x:f>MAX('Growth Rules'!$B$8,ROUND(('Growth Rules'!$B$4+'Growth Rules'!$B$5*($K29-'Growth Rules'!$B$6))*(F29/($K29/6))^'Growth Rules'!$B$7,0))</x:f>
        <x:v>51</x:v>
      </x:c>
      <x:c r="N29" s="64" t="n">
        <x:f>MAX('Growth Rules'!$B$8,ROUND(('Growth Rules'!$B$4+'Growth Rules'!$B$5*($K29-'Growth Rules'!$B$6))*(G29/($K29/6))^'Growth Rules'!$B$7,0))</x:f>
        <x:v>51</x:v>
      </x:c>
      <x:c r="O29" s="64" t="n">
        <x:f>MAX('Growth Rules'!$B$8,ROUND(('Growth Rules'!$B$4+'Growth Rules'!$B$5*($K29-'Growth Rules'!$B$6))*(H29/($K29/6))^'Growth Rules'!$B$7,0))</x:f>
        <x:v>39</x:v>
      </x:c>
      <x:c r="P29" s="64" t="n">
        <x:f>MAX('Growth Rules'!$B$8,ROUND(('Growth Rules'!$B$4+'Growth Rules'!$B$5*($K29-'Growth Rules'!$B$6))*(I29/($K29/6))^'Growth Rules'!$B$7,0))</x:f>
        <x:v>51</x:v>
      </x:c>
      <x:c r="Q29" s="64" t="n">
        <x:f>MAX('Growth Rules'!$B$8,ROUND(('Growth Rules'!$B$4+'Growth Rules'!$B$5*($K29-'Growth Rules'!$B$6))*(J29/($K29/6))^'Growth Rules'!$B$7,0))</x:f>
        <x:v>29</x:v>
      </x:c>
      <x:c r="R29" s="66" t="n">
        <x:f>SUM(L29:Q29)/100</x:f>
        <x:v>2.72</x:v>
      </x:c>
      <x:c r="S29" s="62" t="str"/>
      <x:c r="T29" s="62" t="str"/>
      <x:c r="U29" s="62" t="str"/>
      <x:c r="V29" s="62" t="str"/>
      <x:c r="W29" s="62" t="str"/>
      <x:c r="X29" s="62" t="str"/>
      <x:c r="Y29" s="62" t="str">
        <x:v>Regional_Dex_Stats_and_Abilities_COMPLETE_v2.xlsx + Regional_Dex_Progression_Learnsets_v3.xlsx</x:v>
      </x:c>
    </x:row>
    <x:row r="30">
      <x:c r="A30" s="60" t="n">
        <x:v>27</x:v>
      </x:c>
      <x:c r="B30" s="62" t="str">
        <x:v>Snickal</x:v>
      </x:c>
      <x:c r="C30" s="62" t="str">
        <x:v>Dark</x:v>
      </x:c>
      <x:c r="D30" s="62" t="str"/>
      <x:c r="E30" s="60" t="n">
        <x:v>45</x:v>
      </x:c>
      <x:c r="F30" s="60" t="n">
        <x:v>55</x:v>
      </x:c>
      <x:c r="G30" s="60" t="n">
        <x:v>35</x:v>
      </x:c>
      <x:c r="H30" s="60" t="n">
        <x:v>35</x:v>
      </x:c>
      <x:c r="I30" s="60" t="n">
        <x:v>55</x:v>
      </x:c>
      <x:c r="J30" s="60" t="n">
        <x:v>70</x:v>
      </x:c>
      <x:c r="K30" s="60" t="n">
        <x:v>295</x:v>
      </x:c>
      <x:c r="L30" s="64" t="n">
        <x:f>MAX('Growth Rules'!$B$8,ROUND(('Growth Rules'!$B$4+'Growth Rules'!$B$5*($K30-'Growth Rules'!$B$6))*(E30/($K30/6))^'Growth Rules'!$B$7,0))</x:f>
        <x:v>26</x:v>
      </x:c>
      <x:c r="M30" s="64" t="n">
        <x:f>MAX('Growth Rules'!$B$8,ROUND(('Growth Rules'!$B$4+'Growth Rules'!$B$5*($K30-'Growth Rules'!$B$6))*(F30/($K30/6))^'Growth Rules'!$B$7,0))</x:f>
        <x:v>41</x:v>
      </x:c>
      <x:c r="N30" s="64" t="n">
        <x:f>MAX('Growth Rules'!$B$8,ROUND(('Growth Rules'!$B$4+'Growth Rules'!$B$5*($K30-'Growth Rules'!$B$6))*(G30/($K30/6))^'Growth Rules'!$B$7,0))</x:f>
        <x:v>15</x:v>
      </x:c>
      <x:c r="O30" s="64" t="n">
        <x:f>MAX('Growth Rules'!$B$8,ROUND(('Growth Rules'!$B$4+'Growth Rules'!$B$5*($K30-'Growth Rules'!$B$6))*(H30/($K30/6))^'Growth Rules'!$B$7,0))</x:f>
        <x:v>15</x:v>
      </x:c>
      <x:c r="P30" s="64" t="n">
        <x:f>MAX('Growth Rules'!$B$8,ROUND(('Growth Rules'!$B$4+'Growth Rules'!$B$5*($K30-'Growth Rules'!$B$6))*(I30/($K30/6))^'Growth Rules'!$B$7,0))</x:f>
        <x:v>41</x:v>
      </x:c>
      <x:c r="Q30" s="64" t="n">
        <x:f>MAX('Growth Rules'!$B$8,ROUND(('Growth Rules'!$B$4+'Growth Rules'!$B$5*($K30-'Growth Rules'!$B$6))*(J30/($K30/6))^'Growth Rules'!$B$7,0))</x:f>
        <x:v>70</x:v>
      </x:c>
      <x:c r="R30" s="66" t="n">
        <x:f>SUM(L30:Q30)/100</x:f>
        <x:v>2.08</x:v>
      </x:c>
      <x:c r="S30" s="62" t="str">
        <x:v>Cackena</x:v>
      </x:c>
      <x:c r="T30" s="62" t="str">
        <x:v>LEVEL</x:v>
      </x:c>
      <x:c r="U30" s="62" t="str">
        <x:v>20</x:v>
      </x:c>
      <x:c r="V30" s="62" t="str"/>
      <x:c r="W30" s="62" t="str">
        <x:v>20</x:v>
      </x:c>
      <x:c r="X30" s="62" t="str">
        <x:v>KEEP EXISTING / VALIDATED</x:v>
      </x:c>
      <x:c r="Y30" s="62" t="str">
        <x:v>Regional_Dex_Stats_and_Abilities_COMPLETE_v2.xlsx + Regional_Dex_Progression_Learnsets_v3.xlsx</x:v>
      </x:c>
    </x:row>
    <x:row r="31">
      <x:c r="A31" s="60" t="n">
        <x:v>28</x:v>
      </x:c>
      <x:c r="B31" s="62" t="str">
        <x:v>Cackena</x:v>
      </x:c>
      <x:c r="C31" s="62" t="str">
        <x:v>Dark</x:v>
      </x:c>
      <x:c r="D31" s="62" t="str"/>
      <x:c r="E31" s="60" t="n">
        <x:v>65</x:v>
      </x:c>
      <x:c r="F31" s="60" t="n">
        <x:v>85</x:v>
      </x:c>
      <x:c r="G31" s="60" t="n">
        <x:v>60</x:v>
      </x:c>
      <x:c r="H31" s="60" t="n">
        <x:v>40</x:v>
      </x:c>
      <x:c r="I31" s="60" t="n">
        <x:v>60</x:v>
      </x:c>
      <x:c r="J31" s="60" t="n">
        <x:v>85</x:v>
      </x:c>
      <x:c r="K31" s="60" t="n">
        <x:v>395</x:v>
      </x:c>
      <x:c r="L31" s="64" t="n">
        <x:f>MAX('Growth Rules'!$B$8,ROUND(('Growth Rules'!$B$4+'Growth Rules'!$B$5*($K31-'Growth Rules'!$B$6))*(E31/($K31/6))^'Growth Rules'!$B$7,0))</x:f>
        <x:v>37</x:v>
      </x:c>
      <x:c r="M31" s="64" t="n">
        <x:f>MAX('Growth Rules'!$B$8,ROUND(('Growth Rules'!$B$4+'Growth Rules'!$B$5*($K31-'Growth Rules'!$B$6))*(F31/($K31/6))^'Growth Rules'!$B$7,0))</x:f>
        <x:v>67</x:v>
      </x:c>
      <x:c r="N31" s="64" t="n">
        <x:f>MAX('Growth Rules'!$B$8,ROUND(('Growth Rules'!$B$4+'Growth Rules'!$B$5*($K31-'Growth Rules'!$B$6))*(G31/($K31/6))^'Growth Rules'!$B$7,0))</x:f>
        <x:v>31</x:v>
      </x:c>
      <x:c r="O31" s="64" t="n">
        <x:f>MAX('Growth Rules'!$B$8,ROUND(('Growth Rules'!$B$4+'Growth Rules'!$B$5*($K31-'Growth Rules'!$B$6))*(H31/($K31/6))^'Growth Rules'!$B$7,0))</x:f>
        <x:v>12</x:v>
      </x:c>
      <x:c r="P31" s="64" t="n">
        <x:f>MAX('Growth Rules'!$B$8,ROUND(('Growth Rules'!$B$4+'Growth Rules'!$B$5*($K31-'Growth Rules'!$B$6))*(I31/($K31/6))^'Growth Rules'!$B$7,0))</x:f>
        <x:v>31</x:v>
      </x:c>
      <x:c r="Q31" s="64" t="n">
        <x:f>MAX('Growth Rules'!$B$8,ROUND(('Growth Rules'!$B$4+'Growth Rules'!$B$5*($K31-'Growth Rules'!$B$6))*(J31/($K31/6))^'Growth Rules'!$B$7,0))</x:f>
        <x:v>67</x:v>
      </x:c>
      <x:c r="R31" s="66" t="n">
        <x:f>SUM(L31:Q31)/100</x:f>
        <x:v>2.45</x:v>
      </x:c>
      <x:c r="S31" s="62" t="str">
        <x:v>Carriena</x:v>
      </x:c>
      <x:c r="T31" s="62" t="str">
        <x:v>LEVEL</x:v>
      </x:c>
      <x:c r="U31" s="62" t="str">
        <x:v>38</x:v>
      </x:c>
      <x:c r="V31" s="62" t="str"/>
      <x:c r="W31" s="62" t="str">
        <x:v>38</x:v>
      </x:c>
      <x:c r="X31" s="62" t="str">
        <x:v>KEEP EXISTING / VALIDATED</x:v>
      </x:c>
      <x:c r="Y31" s="62" t="str">
        <x:v>Regional_Dex_Stats_and_Abilities_COMPLETE_v2.xlsx + Regional_Dex_Progression_Learnsets_v3.xlsx</x:v>
      </x:c>
    </x:row>
    <x:row r="32">
      <x:c r="A32" s="60" t="n">
        <x:v>29</x:v>
      </x:c>
      <x:c r="B32" s="62" t="str">
        <x:v>Carriena</x:v>
      </x:c>
      <x:c r="C32" s="62" t="str">
        <x:v>Dark</x:v>
      </x:c>
      <x:c r="D32" s="62" t="str">
        <x:v>Ghost</x:v>
      </x:c>
      <x:c r="E32" s="60" t="n">
        <x:v>85</x:v>
      </x:c>
      <x:c r="F32" s="60" t="n">
        <x:v>100</x:v>
      </x:c>
      <x:c r="G32" s="60" t="n">
        <x:v>75</x:v>
      </x:c>
      <x:c r="H32" s="60" t="n">
        <x:v>60</x:v>
      </x:c>
      <x:c r="I32" s="60" t="n">
        <x:v>85</x:v>
      </x:c>
      <x:c r="J32" s="60" t="n">
        <x:v>100</x:v>
      </x:c>
      <x:c r="K32" s="60" t="n">
        <x:v>505</x:v>
      </x:c>
      <x:c r="L32" s="64" t="n">
        <x:f>MAX('Growth Rules'!$B$8,ROUND(('Growth Rules'!$B$4+'Growth Rules'!$B$5*($K32-'Growth Rules'!$B$6))*(E32/($K32/6))^'Growth Rules'!$B$7,0))</x:f>
        <x:v>45</x:v>
      </x:c>
      <x:c r="M32" s="64" t="n">
        <x:f>MAX('Growth Rules'!$B$8,ROUND(('Growth Rules'!$B$4+'Growth Rules'!$B$5*($K32-'Growth Rules'!$B$6))*(F32/($K32/6))^'Growth Rules'!$B$7,0))</x:f>
        <x:v>65</x:v>
      </x:c>
      <x:c r="N32" s="64" t="n">
        <x:f>MAX('Growth Rules'!$B$8,ROUND(('Growth Rules'!$B$4+'Growth Rules'!$B$5*($K32-'Growth Rules'!$B$6))*(G32/($K32/6))^'Growth Rules'!$B$7,0))</x:f>
        <x:v>34</x:v>
      </x:c>
      <x:c r="O32" s="64" t="n">
        <x:f>MAX('Growth Rules'!$B$8,ROUND(('Growth Rules'!$B$4+'Growth Rules'!$B$5*($K32-'Growth Rules'!$B$6))*(H32/($K32/6))^'Growth Rules'!$B$7,0))</x:f>
        <x:v>21</x:v>
      </x:c>
      <x:c r="P32" s="64" t="n">
        <x:f>MAX('Growth Rules'!$B$8,ROUND(('Growth Rules'!$B$4+'Growth Rules'!$B$5*($K32-'Growth Rules'!$B$6))*(I32/($K32/6))^'Growth Rules'!$B$7,0))</x:f>
        <x:v>45</x:v>
      </x:c>
      <x:c r="Q32" s="64" t="n">
        <x:f>MAX('Growth Rules'!$B$8,ROUND(('Growth Rules'!$B$4+'Growth Rules'!$B$5*($K32-'Growth Rules'!$B$6))*(J32/($K32/6))^'Growth Rules'!$B$7,0))</x:f>
        <x:v>65</x:v>
      </x:c>
      <x:c r="R32" s="66" t="n">
        <x:f>SUM(L32:Q32)/100</x:f>
        <x:v>2.75</x:v>
      </x:c>
      <x:c r="S32" s="62" t="str"/>
      <x:c r="T32" s="62" t="str"/>
      <x:c r="U32" s="62" t="str"/>
      <x:c r="V32" s="62" t="str"/>
      <x:c r="W32" s="62" t="str"/>
      <x:c r="X32" s="62" t="str"/>
      <x:c r="Y32" s="62" t="str">
        <x:v>Regional_Dex_Stats_and_Abilities_COMPLETE_v2.xlsx + Regional_Dex_Progression_Learnsets_v3.xlsx</x:v>
      </x:c>
    </x:row>
    <x:row r="33">
      <x:c r="A33" s="60" t="n">
        <x:v>30</x:v>
      </x:c>
      <x:c r="B33" s="62" t="str">
        <x:v>Bantisk</x:v>
      </x:c>
      <x:c r="C33" s="62" t="str">
        <x:v>Poison</x:v>
      </x:c>
      <x:c r="D33" s="62" t="str"/>
      <x:c r="E33" s="60" t="n">
        <x:v>35</x:v>
      </x:c>
      <x:c r="F33" s="60" t="n">
        <x:v>55</x:v>
      </x:c>
      <x:c r="G33" s="60" t="n">
        <x:v>35</x:v>
      </x:c>
      <x:c r="H33" s="60" t="n">
        <x:v>55</x:v>
      </x:c>
      <x:c r="I33" s="60" t="n">
        <x:v>55</x:v>
      </x:c>
      <x:c r="J33" s="60" t="n">
        <x:v>70</x:v>
      </x:c>
      <x:c r="K33" s="60" t="n">
        <x:v>305</x:v>
      </x:c>
      <x:c r="L33" s="64" t="n">
        <x:f>MAX('Growth Rules'!$B$8,ROUND(('Growth Rules'!$B$4+'Growth Rules'!$B$5*($K33-'Growth Rules'!$B$6))*(E33/($K33/6))^'Growth Rules'!$B$7,0))</x:f>
        <x:v>14</x:v>
      </x:c>
      <x:c r="M33" s="64" t="n">
        <x:f>MAX('Growth Rules'!$B$8,ROUND(('Growth Rules'!$B$4+'Growth Rules'!$B$5*($K33-'Growth Rules'!$B$6))*(F33/($K33/6))^'Growth Rules'!$B$7,0))</x:f>
        <x:v>39</x:v>
      </x:c>
      <x:c r="N33" s="64" t="n">
        <x:f>MAX('Growth Rules'!$B$8,ROUND(('Growth Rules'!$B$4+'Growth Rules'!$B$5*($K33-'Growth Rules'!$B$6))*(G33/($K33/6))^'Growth Rules'!$B$7,0))</x:f>
        <x:v>14</x:v>
      </x:c>
      <x:c r="O33" s="64" t="n">
        <x:f>MAX('Growth Rules'!$B$8,ROUND(('Growth Rules'!$B$4+'Growth Rules'!$B$5*($K33-'Growth Rules'!$B$6))*(H33/($K33/6))^'Growth Rules'!$B$7,0))</x:f>
        <x:v>39</x:v>
      </x:c>
      <x:c r="P33" s="64" t="n">
        <x:f>MAX('Growth Rules'!$B$8,ROUND(('Growth Rules'!$B$4+'Growth Rules'!$B$5*($K33-'Growth Rules'!$B$6))*(I33/($K33/6))^'Growth Rules'!$B$7,0))</x:f>
        <x:v>39</x:v>
      </x:c>
      <x:c r="Q33" s="64" t="n">
        <x:f>MAX('Growth Rules'!$B$8,ROUND(('Growth Rules'!$B$4+'Growth Rules'!$B$5*($K33-'Growth Rules'!$B$6))*(J33/($K33/6))^'Growth Rules'!$B$7,0))</x:f>
        <x:v>66</x:v>
      </x:c>
      <x:c r="R33" s="66" t="n">
        <x:f>SUM(L33:Q33)/100</x:f>
        <x:v>2.11</x:v>
      </x:c>
      <x:c r="S33" s="62" t="str">
        <x:v>Cockatrix</x:v>
      </x:c>
      <x:c r="T33" s="62" t="str">
        <x:v>LEVEL</x:v>
      </x:c>
      <x:c r="U33" s="62" t="str">
        <x:v>20</x:v>
      </x:c>
      <x:c r="V33" s="62" t="str"/>
      <x:c r="W33" s="62" t="str">
        <x:v>20</x:v>
      </x:c>
      <x:c r="X33" s="62" t="str">
        <x:v>KEEP EXISTING / VALIDATED</x:v>
      </x:c>
      <x:c r="Y33" s="62" t="str">
        <x:v>Regional_Dex_Stats_and_Abilities_COMPLETE_v2.xlsx + Regional_Dex_Progression_Learnsets_v3.xlsx</x:v>
      </x:c>
    </x:row>
    <x:row r="34">
      <x:c r="A34" s="60" t="n">
        <x:v>31</x:v>
      </x:c>
      <x:c r="B34" s="62" t="str">
        <x:v>Cockatrix</x:v>
      </x:c>
      <x:c r="C34" s="62" t="str">
        <x:v>Poison</x:v>
      </x:c>
      <x:c r="D34" s="62" t="str">
        <x:v>Flying</x:v>
      </x:c>
      <x:c r="E34" s="60" t="n">
        <x:v>60</x:v>
      </x:c>
      <x:c r="F34" s="60" t="n">
        <x:v>85</x:v>
      </x:c>
      <x:c r="G34" s="60" t="n">
        <x:v>50</x:v>
      </x:c>
      <x:c r="H34" s="60" t="n">
        <x:v>75</x:v>
      </x:c>
      <x:c r="I34" s="60" t="n">
        <x:v>65</x:v>
      </x:c>
      <x:c r="J34" s="60" t="n">
        <x:v>85</x:v>
      </x:c>
      <x:c r="K34" s="60" t="n">
        <x:v>420</x:v>
      </x:c>
      <x:c r="L34" s="64" t="n">
        <x:f>MAX('Growth Rules'!$B$8,ROUND(('Growth Rules'!$B$4+'Growth Rules'!$B$5*($K34-'Growth Rules'!$B$6))*(E34/($K34/6))^'Growth Rules'!$B$7,0))</x:f>
        <x:v>28</x:v>
      </x:c>
      <x:c r="M34" s="64" t="n">
        <x:f>MAX('Growth Rules'!$B$8,ROUND(('Growth Rules'!$B$4+'Growth Rules'!$B$5*($K34-'Growth Rules'!$B$6))*(F34/($K34/6))^'Growth Rules'!$B$7,0))</x:f>
        <x:v>61</x:v>
      </x:c>
      <x:c r="N34" s="64" t="n">
        <x:f>MAX('Growth Rules'!$B$8,ROUND(('Growth Rules'!$B$4+'Growth Rules'!$B$5*($K34-'Growth Rules'!$B$6))*(G34/($K34/6))^'Growth Rules'!$B$7,0))</x:f>
        <x:v>18</x:v>
      </x:c>
      <x:c r="O34" s="64" t="n">
        <x:f>MAX('Growth Rules'!$B$8,ROUND(('Growth Rules'!$B$4+'Growth Rules'!$B$5*($K34-'Growth Rules'!$B$6))*(H34/($K34/6))^'Growth Rules'!$B$7,0))</x:f>
        <x:v>46</x:v>
      </x:c>
      <x:c r="P34" s="64" t="n">
        <x:f>MAX('Growth Rules'!$B$8,ROUND(('Growth Rules'!$B$4+'Growth Rules'!$B$5*($K34-'Growth Rules'!$B$6))*(I34/($K34/6))^'Growth Rules'!$B$7,0))</x:f>
        <x:v>33</x:v>
      </x:c>
      <x:c r="Q34" s="64" t="n">
        <x:f>MAX('Growth Rules'!$B$8,ROUND(('Growth Rules'!$B$4+'Growth Rules'!$B$5*($K34-'Growth Rules'!$B$6))*(J34/($K34/6))^'Growth Rules'!$B$7,0))</x:f>
        <x:v>61</x:v>
      </x:c>
      <x:c r="R34" s="66" t="n">
        <x:f>SUM(L34:Q34)/100</x:f>
        <x:v>2.47</x:v>
      </x:c>
      <x:c r="S34" s="62" t="str">
        <x:v>Regalisk</x:v>
      </x:c>
      <x:c r="T34" s="62" t="str">
        <x:v>LEVEL</x:v>
      </x:c>
      <x:c r="U34" s="62" t="str">
        <x:v>38</x:v>
      </x:c>
      <x:c r="V34" s="62" t="str"/>
      <x:c r="W34" s="62" t="str">
        <x:v>38</x:v>
      </x:c>
      <x:c r="X34" s="62" t="str">
        <x:v>KEEP EXISTING / VALIDATED</x:v>
      </x:c>
      <x:c r="Y34" s="62" t="str">
        <x:v>Regional_Dex_Stats_and_Abilities_COMPLETE_v2.xlsx + Regional_Dex_Progression_Learnsets_v3.xlsx</x:v>
      </x:c>
    </x:row>
    <x:row r="35">
      <x:c r="A35" s="60" t="n">
        <x:v>32</x:v>
      </x:c>
      <x:c r="B35" s="62" t="str">
        <x:v>Regalisk</x:v>
      </x:c>
      <x:c r="C35" s="62" t="str">
        <x:v>Poison</x:v>
      </x:c>
      <x:c r="D35" s="62" t="str">
        <x:v>Dragon</x:v>
      </x:c>
      <x:c r="E35" s="60" t="n">
        <x:v>85</x:v>
      </x:c>
      <x:c r="F35" s="60" t="n">
        <x:v>100</x:v>
      </x:c>
      <x:c r="G35" s="60" t="n">
        <x:v>70</x:v>
      </x:c>
      <x:c r="H35" s="60" t="n">
        <x:v>100</x:v>
      </x:c>
      <x:c r="I35" s="60" t="n">
        <x:v>85</x:v>
      </x:c>
      <x:c r="J35" s="60" t="n">
        <x:v>95</x:v>
      </x:c>
      <x:c r="K35" s="60" t="n">
        <x:v>535</x:v>
      </x:c>
      <x:c r="L35" s="64" t="n">
        <x:f>MAX('Growth Rules'!$B$8,ROUND(('Growth Rules'!$B$4+'Growth Rules'!$B$5*($K35-'Growth Rules'!$B$6))*(E35/($K35/6))^'Growth Rules'!$B$7,0))</x:f>
        <x:v>41</x:v>
      </x:c>
      <x:c r="M35" s="64" t="n">
        <x:f>MAX('Growth Rules'!$B$8,ROUND(('Growth Rules'!$B$4+'Growth Rules'!$B$5*($K35-'Growth Rules'!$B$6))*(F35/($K35/6))^'Growth Rules'!$B$7,0))</x:f>
        <x:v>60</x:v>
      </x:c>
      <x:c r="N35" s="64" t="n">
        <x:f>MAX('Growth Rules'!$B$8,ROUND(('Growth Rules'!$B$4+'Growth Rules'!$B$5*($K35-'Growth Rules'!$B$6))*(G35/($K35/6))^'Growth Rules'!$B$7,0))</x:f>
        <x:v>27</x:v>
      </x:c>
      <x:c r="O35" s="64" t="n">
        <x:f>MAX('Growth Rules'!$B$8,ROUND(('Growth Rules'!$B$4+'Growth Rules'!$B$5*($K35-'Growth Rules'!$B$6))*(H35/($K35/6))^'Growth Rules'!$B$7,0))</x:f>
        <x:v>60</x:v>
      </x:c>
      <x:c r="P35" s="64" t="n">
        <x:f>MAX('Growth Rules'!$B$8,ROUND(('Growth Rules'!$B$4+'Growth Rules'!$B$5*($K35-'Growth Rules'!$B$6))*(I35/($K35/6))^'Growth Rules'!$B$7,0))</x:f>
        <x:v>41</x:v>
      </x:c>
      <x:c r="Q35" s="64" t="n">
        <x:f>MAX('Growth Rules'!$B$8,ROUND(('Growth Rules'!$B$4+'Growth Rules'!$B$5*($K35-'Growth Rules'!$B$6))*(J35/($K35/6))^'Growth Rules'!$B$7,0))</x:f>
        <x:v>53</x:v>
      </x:c>
      <x:c r="R35" s="66" t="n">
        <x:f>SUM(L35:Q35)/100</x:f>
        <x:v>2.82</x:v>
      </x:c>
      <x:c r="S35" s="62" t="str"/>
      <x:c r="T35" s="62" t="str"/>
      <x:c r="U35" s="62" t="str"/>
      <x:c r="V35" s="62" t="str"/>
      <x:c r="W35" s="62" t="str"/>
      <x:c r="X35" s="62" t="str"/>
      <x:c r="Y35" s="62" t="str">
        <x:v>Regional_Dex_Stats_and_Abilities_COMPLETE_v2.xlsx + Regional_Dex_Progression_Learnsets_v3.xlsx</x:v>
      </x:c>
    </x:row>
    <x:row r="36">
      <x:c r="A36" s="60" t="n">
        <x:v>33</x:v>
      </x:c>
      <x:c r="B36" s="62" t="str">
        <x:v>Eyret</x:v>
      </x:c>
      <x:c r="C36" s="62" t="str">
        <x:v>Flying</x:v>
      </x:c>
      <x:c r="D36" s="62" t="str"/>
      <x:c r="E36" s="60" t="n">
        <x:v>45</x:v>
      </x:c>
      <x:c r="F36" s="60" t="n">
        <x:v>60</x:v>
      </x:c>
      <x:c r="G36" s="60" t="n">
        <x:v>35</x:v>
      </x:c>
      <x:c r="H36" s="60" t="n">
        <x:v>35</x:v>
      </x:c>
      <x:c r="I36" s="60" t="n">
        <x:v>55</x:v>
      </x:c>
      <x:c r="J36" s="60" t="n">
        <x:v>70</x:v>
      </x:c>
      <x:c r="K36" s="60" t="n">
        <x:v>300</x:v>
      </x:c>
      <x:c r="L36" s="64" t="n">
        <x:f>MAX('Growth Rules'!$B$8,ROUND(('Growth Rules'!$B$4+'Growth Rules'!$B$5*($K36-'Growth Rules'!$B$6))*(E36/($K36/6))^'Growth Rules'!$B$7,0))</x:f>
        <x:v>25</x:v>
      </x:c>
      <x:c r="M36" s="64" t="n">
        <x:f>MAX('Growth Rules'!$B$8,ROUND(('Growth Rules'!$B$4+'Growth Rules'!$B$5*($K36-'Growth Rules'!$B$6))*(F36/($K36/6))^'Growth Rules'!$B$7,0))</x:f>
        <x:v>48</x:v>
      </x:c>
      <x:c r="N36" s="64" t="n">
        <x:f>MAX('Growth Rules'!$B$8,ROUND(('Growth Rules'!$B$4+'Growth Rules'!$B$5*($K36-'Growth Rules'!$B$6))*(G36/($K36/6))^'Growth Rules'!$B$7,0))</x:f>
        <x:v>14</x:v>
      </x:c>
      <x:c r="O36" s="64" t="n">
        <x:f>MAX('Growth Rules'!$B$8,ROUND(('Growth Rules'!$B$4+'Growth Rules'!$B$5*($K36-'Growth Rules'!$B$6))*(H36/($K36/6))^'Growth Rules'!$B$7,0))</x:f>
        <x:v>14</x:v>
      </x:c>
      <x:c r="P36" s="64" t="n">
        <x:f>MAX('Growth Rules'!$B$8,ROUND(('Growth Rules'!$B$4+'Growth Rules'!$B$5*($K36-'Growth Rules'!$B$6))*(I36/($K36/6))^'Growth Rules'!$B$7,0))</x:f>
        <x:v>40</x:v>
      </x:c>
      <x:c r="Q36" s="64" t="n">
        <x:f>MAX('Growth Rules'!$B$8,ROUND(('Growth Rules'!$B$4+'Growth Rules'!$B$5*($K36-'Growth Rules'!$B$6))*(J36/($K36/6))^'Growth Rules'!$B$7,0))</x:f>
        <x:v>68</x:v>
      </x:c>
      <x:c r="R36" s="66" t="n">
        <x:f>SUM(L36:Q36)/100</x:f>
        <x:v>2.09</x:v>
      </x:c>
      <x:c r="S36" s="62" t="str">
        <x:v>Falchawk</x:v>
      </x:c>
      <x:c r="T36" s="62" t="str">
        <x:v>LEVEL</x:v>
      </x:c>
      <x:c r="U36" s="62" t="str">
        <x:v>26</x:v>
      </x:c>
      <x:c r="V36" s="62" t="str"/>
      <x:c r="W36" s="62" t="str">
        <x:v>26</x:v>
      </x:c>
      <x:c r="X36" s="62" t="str">
        <x:v>KEEP EXISTING / VALIDATED</x:v>
      </x:c>
      <x:c r="Y36" s="62" t="str">
        <x:v>Regional_Dex_Stats_and_Abilities_COMPLETE_v2.xlsx + Regional_Dex_Progression_Learnsets_v3.xlsx</x:v>
      </x:c>
    </x:row>
    <x:row r="37">
      <x:c r="A37" s="60" t="n">
        <x:v>34</x:v>
      </x:c>
      <x:c r="B37" s="62" t="str">
        <x:v>Falchawk</x:v>
      </x:c>
      <x:c r="C37" s="62" t="str">
        <x:v>Flying</x:v>
      </x:c>
      <x:c r="D37" s="62" t="str">
        <x:v>Fighting</x:v>
      </x:c>
      <x:c r="E37" s="60" t="n">
        <x:v>75</x:v>
      </x:c>
      <x:c r="F37" s="60" t="n">
        <x:v>105</x:v>
      </x:c>
      <x:c r="G37" s="60" t="n">
        <x:v>65</x:v>
      </x:c>
      <x:c r="H37" s="60" t="n">
        <x:v>50</x:v>
      </x:c>
      <x:c r="I37" s="60" t="n">
        <x:v>75</x:v>
      </x:c>
      <x:c r="J37" s="60" t="n">
        <x:v>130</x:v>
      </x:c>
      <x:c r="K37" s="60" t="n">
        <x:v>500</x:v>
      </x:c>
      <x:c r="L37" s="64" t="n">
        <x:f>MAX('Growth Rules'!$B$8,ROUND(('Growth Rules'!$B$4+'Growth Rules'!$B$5*($K37-'Growth Rules'!$B$6))*(E37/($K37/6))^'Growth Rules'!$B$7,0))</x:f>
        <x:v>35</x:v>
      </x:c>
      <x:c r="M37" s="64" t="n">
        <x:f>MAX('Growth Rules'!$B$8,ROUND(('Growth Rules'!$B$4+'Growth Rules'!$B$5*($K37-'Growth Rules'!$B$6))*(F37/($K37/6))^'Growth Rules'!$B$7,0))</x:f>
        <x:v>74</x:v>
      </x:c>
      <x:c r="N37" s="64" t="n">
        <x:f>MAX('Growth Rules'!$B$8,ROUND(('Growth Rules'!$B$4+'Growth Rules'!$B$5*($K37-'Growth Rules'!$B$6))*(G37/($K37/6))^'Growth Rules'!$B$7,0))</x:f>
        <x:v>25</x:v>
      </x:c>
      <x:c r="O37" s="64" t="n">
        <x:f>MAX('Growth Rules'!$B$8,ROUND(('Growth Rules'!$B$4+'Growth Rules'!$B$5*($K37-'Growth Rules'!$B$6))*(H37/($K37/6))^'Growth Rules'!$B$7,0))</x:f>
        <x:v>14</x:v>
      </x:c>
      <x:c r="P37" s="64" t="n">
        <x:f>MAX('Growth Rules'!$B$8,ROUND(('Growth Rules'!$B$4+'Growth Rules'!$B$5*($K37-'Growth Rules'!$B$6))*(I37/($K37/6))^'Growth Rules'!$B$7,0))</x:f>
        <x:v>35</x:v>
      </x:c>
      <x:c r="Q37" s="64" t="n">
        <x:f>MAX('Growth Rules'!$B$8,ROUND(('Growth Rules'!$B$4+'Growth Rules'!$B$5*($K37-'Growth Rules'!$B$6))*(J37/($K37/6))^'Growth Rules'!$B$7,0))</x:f>
        <x:v>120</x:v>
      </x:c>
      <x:c r="R37" s="66" t="n">
        <x:f>SUM(L37:Q37)/100</x:f>
        <x:v>3.03</x:v>
      </x:c>
      <x:c r="S37" s="62" t="str"/>
      <x:c r="T37" s="62" t="str"/>
      <x:c r="U37" s="62" t="str"/>
      <x:c r="V37" s="62" t="str"/>
      <x:c r="W37" s="62" t="str"/>
      <x:c r="X37" s="62" t="str"/>
      <x:c r="Y37" s="62" t="str">
        <x:v>Regional_Dex_Stats_and_Abilities_COMPLETE_v2.xlsx + Regional_Dex_Progression_Learnsets_v3.xlsx</x:v>
      </x:c>
    </x:row>
    <x:row r="38">
      <x:c r="A38" s="60" t="n">
        <x:v>35</x:v>
      </x:c>
      <x:c r="B38" s="62" t="str">
        <x:v>Dromble</x:v>
      </x:c>
      <x:c r="C38" s="62" t="str">
        <x:v>Ground</x:v>
      </x:c>
      <x:c r="D38" s="62" t="str"/>
      <x:c r="E38" s="60" t="n">
        <x:v>70</x:v>
      </x:c>
      <x:c r="F38" s="60" t="n">
        <x:v>55</x:v>
      </x:c>
      <x:c r="G38" s="60" t="n">
        <x:v>55</x:v>
      </x:c>
      <x:c r="H38" s="60" t="n">
        <x:v>35</x:v>
      </x:c>
      <x:c r="I38" s="60" t="n">
        <x:v>55</x:v>
      </x:c>
      <x:c r="J38" s="60" t="n">
        <x:v>35</x:v>
      </x:c>
      <x:c r="K38" s="60" t="n">
        <x:v>305</x:v>
      </x:c>
      <x:c r="L38" s="64" t="n">
        <x:f>MAX('Growth Rules'!$B$8,ROUND(('Growth Rules'!$B$4+'Growth Rules'!$B$5*($K38-'Growth Rules'!$B$6))*(E38/($K38/6))^'Growth Rules'!$B$7,0))</x:f>
        <x:v>66</x:v>
      </x:c>
      <x:c r="M38" s="64" t="n">
        <x:f>MAX('Growth Rules'!$B$8,ROUND(('Growth Rules'!$B$4+'Growth Rules'!$B$5*($K38-'Growth Rules'!$B$6))*(F38/($K38/6))^'Growth Rules'!$B$7,0))</x:f>
        <x:v>39</x:v>
      </x:c>
      <x:c r="N38" s="64" t="n">
        <x:f>MAX('Growth Rules'!$B$8,ROUND(('Growth Rules'!$B$4+'Growth Rules'!$B$5*($K38-'Growth Rules'!$B$6))*(G38/($K38/6))^'Growth Rules'!$B$7,0))</x:f>
        <x:v>39</x:v>
      </x:c>
      <x:c r="O38" s="64" t="n">
        <x:f>MAX('Growth Rules'!$B$8,ROUND(('Growth Rules'!$B$4+'Growth Rules'!$B$5*($K38-'Growth Rules'!$B$6))*(H38/($K38/6))^'Growth Rules'!$B$7,0))</x:f>
        <x:v>14</x:v>
      </x:c>
      <x:c r="P38" s="64" t="n">
        <x:f>MAX('Growth Rules'!$B$8,ROUND(('Growth Rules'!$B$4+'Growth Rules'!$B$5*($K38-'Growth Rules'!$B$6))*(I38/($K38/6))^'Growth Rules'!$B$7,0))</x:f>
        <x:v>39</x:v>
      </x:c>
      <x:c r="Q38" s="64" t="n">
        <x:f>MAX('Growth Rules'!$B$8,ROUND(('Growth Rules'!$B$4+'Growth Rules'!$B$5*($K38-'Growth Rules'!$B$6))*(J38/($K38/6))^'Growth Rules'!$B$7,0))</x:f>
        <x:v>14</x:v>
      </x:c>
      <x:c r="R38" s="66" t="n">
        <x:f>SUM(L38:Q38)/100</x:f>
        <x:v>2.11</x:v>
      </x:c>
      <x:c r="S38" s="62" t="str">
        <x:v>Caskamel</x:v>
      </x:c>
      <x:c r="T38" s="62" t="str">
        <x:v>LEVEL</x:v>
      </x:c>
      <x:c r="U38" s="62" t="str">
        <x:v>22</x:v>
      </x:c>
      <x:c r="V38" s="62" t="str"/>
      <x:c r="W38" s="62" t="str">
        <x:v>22</x:v>
      </x:c>
      <x:c r="X38" s="62" t="str">
        <x:v>KEEP EXISTING / VALIDATED</x:v>
      </x:c>
      <x:c r="Y38" s="62" t="str">
        <x:v>Regional_Dex_Stats_and_Abilities_COMPLETE_v2.xlsx + Regional_Dex_Progression_Learnsets_v3.xlsx</x:v>
      </x:c>
    </x:row>
    <x:row r="39">
      <x:c r="A39" s="60" t="n">
        <x:v>36</x:v>
      </x:c>
      <x:c r="B39" s="62" t="str">
        <x:v>Caskamel</x:v>
      </x:c>
      <x:c r="C39" s="62" t="str">
        <x:v>Ground</x:v>
      </x:c>
      <x:c r="D39" s="62" t="str"/>
      <x:c r="E39" s="60" t="n">
        <x:v>85</x:v>
      </x:c>
      <x:c r="F39" s="60" t="n">
        <x:v>75</x:v>
      </x:c>
      <x:c r="G39" s="60" t="n">
        <x:v>65</x:v>
      </x:c>
      <x:c r="H39" s="60" t="n">
        <x:v>40</x:v>
      </x:c>
      <x:c r="I39" s="60" t="n">
        <x:v>85</x:v>
      </x:c>
      <x:c r="J39" s="60" t="n">
        <x:v>55</x:v>
      </x:c>
      <x:c r="K39" s="60" t="n">
        <x:v>405</x:v>
      </x:c>
      <x:c r="L39" s="64" t="n">
        <x:f>MAX('Growth Rules'!$B$8,ROUND(('Growth Rules'!$B$4+'Growth Rules'!$B$5*($K39-'Growth Rules'!$B$6))*(E39/($K39/6))^'Growth Rules'!$B$7,0))</x:f>
        <x:v>64</x:v>
      </x:c>
      <x:c r="M39" s="64" t="n">
        <x:f>MAX('Growth Rules'!$B$8,ROUND(('Growth Rules'!$B$4+'Growth Rules'!$B$5*($K39-'Growth Rules'!$B$6))*(F39/($K39/6))^'Growth Rules'!$B$7,0))</x:f>
        <x:v>49</x:v>
      </x:c>
      <x:c r="N39" s="64" t="n">
        <x:f>MAX('Growth Rules'!$B$8,ROUND(('Growth Rules'!$B$4+'Growth Rules'!$B$5*($K39-'Growth Rules'!$B$6))*(G39/($K39/6))^'Growth Rules'!$B$7,0))</x:f>
        <x:v>35</x:v>
      </x:c>
      <x:c r="O39" s="64" t="n">
        <x:f>MAX('Growth Rules'!$B$8,ROUND(('Growth Rules'!$B$4+'Growth Rules'!$B$5*($K39-'Growth Rules'!$B$6))*(H39/($K39/6))^'Growth Rules'!$B$7,0))</x:f>
        <x:v>12</x:v>
      </x:c>
      <x:c r="P39" s="64" t="n">
        <x:f>MAX('Growth Rules'!$B$8,ROUND(('Growth Rules'!$B$4+'Growth Rules'!$B$5*($K39-'Growth Rules'!$B$6))*(I39/($K39/6))^'Growth Rules'!$B$7,0))</x:f>
        <x:v>64</x:v>
      </x:c>
      <x:c r="Q39" s="64" t="n">
        <x:f>MAX('Growth Rules'!$B$8,ROUND(('Growth Rules'!$B$4+'Growth Rules'!$B$5*($K39-'Growth Rules'!$B$6))*(J39/($K39/6))^'Growth Rules'!$B$7,0))</x:f>
        <x:v>24</x:v>
      </x:c>
      <x:c r="R39" s="66" t="n">
        <x:f>SUM(L39:Q39)/100</x:f>
        <x:v>2.48</x:v>
      </x:c>
      <x:c r="S39" s="62" t="str">
        <x:v>Cisternel</x:v>
      </x:c>
      <x:c r="T39" s="62" t="str">
        <x:v>LEVEL</x:v>
      </x:c>
      <x:c r="U39" s="62" t="str">
        <x:v>40</x:v>
      </x:c>
      <x:c r="V39" s="62" t="str"/>
      <x:c r="W39" s="62" t="str">
        <x:v>40</x:v>
      </x:c>
      <x:c r="X39" s="62" t="str">
        <x:v>KEEP EXISTING / VALIDATED</x:v>
      </x:c>
      <x:c r="Y39" s="62" t="str">
        <x:v>Regional_Dex_Stats_and_Abilities_COMPLETE_v2.xlsx + Regional_Dex_Progression_Learnsets_v3.xlsx</x:v>
      </x:c>
    </x:row>
    <x:row r="40">
      <x:c r="A40" s="60" t="n">
        <x:v>37</x:v>
      </x:c>
      <x:c r="B40" s="62" t="str">
        <x:v>Cisternel</x:v>
      </x:c>
      <x:c r="C40" s="62" t="str">
        <x:v>Ground</x:v>
      </x:c>
      <x:c r="D40" s="62" t="str">
        <x:v>Water</x:v>
      </x:c>
      <x:c r="E40" s="60" t="n">
        <x:v>120</x:v>
      </x:c>
      <x:c r="F40" s="60" t="n">
        <x:v>85</x:v>
      </x:c>
      <x:c r="G40" s="60" t="n">
        <x:v>95</x:v>
      </x:c>
      <x:c r="H40" s="60" t="n">
        <x:v>70</x:v>
      </x:c>
      <x:c r="I40" s="60" t="n">
        <x:v>100</x:v>
      </x:c>
      <x:c r="J40" s="60" t="n">
        <x:v>45</x:v>
      </x:c>
      <x:c r="K40" s="60" t="n">
        <x:v>515</x:v>
      </x:c>
      <x:c r="L40" s="64" t="n">
        <x:f>MAX('Growth Rules'!$B$8,ROUND(('Growth Rules'!$B$4+'Growth Rules'!$B$5*($K40-'Growth Rules'!$B$6))*(E40/($K40/6))^'Growth Rules'!$B$7,0))</x:f>
        <x:v>95</x:v>
      </x:c>
      <x:c r="M40" s="64" t="n">
        <x:f>MAX('Growth Rules'!$B$8,ROUND(('Growth Rules'!$B$4+'Growth Rules'!$B$5*($K40-'Growth Rules'!$B$6))*(F40/($K40/6))^'Growth Rules'!$B$7,0))</x:f>
        <x:v>44</x:v>
      </x:c>
      <x:c r="N40" s="64" t="n">
        <x:f>MAX('Growth Rules'!$B$8,ROUND(('Growth Rules'!$B$4+'Growth Rules'!$B$5*($K40-'Growth Rules'!$B$6))*(G40/($K40/6))^'Growth Rules'!$B$7,0))</x:f>
        <x:v>56</x:v>
      </x:c>
      <x:c r="O40" s="64" t="n">
        <x:f>MAX('Growth Rules'!$B$8,ROUND(('Growth Rules'!$B$4+'Growth Rules'!$B$5*($K40-'Growth Rules'!$B$6))*(H40/($K40/6))^'Growth Rules'!$B$7,0))</x:f>
        <x:v>28</x:v>
      </x:c>
      <x:c r="P40" s="64" t="n">
        <x:f>MAX('Growth Rules'!$B$8,ROUND(('Growth Rules'!$B$4+'Growth Rules'!$B$5*($K40-'Growth Rules'!$B$6))*(I40/($K40/6))^'Growth Rules'!$B$7,0))</x:f>
        <x:v>63</x:v>
      </x:c>
      <x:c r="Q40" s="64" t="n">
        <x:f>MAX('Growth Rules'!$B$8,ROUND(('Growth Rules'!$B$4+'Growth Rules'!$B$5*($K40-'Growth Rules'!$B$6))*(J40/($K40/6))^'Growth Rules'!$B$7,0))</x:f>
        <x:v>11</x:v>
      </x:c>
      <x:c r="R40" s="66" t="n">
        <x:f>SUM(L40:Q40)/100</x:f>
        <x:v>2.97</x:v>
      </x:c>
      <x:c r="S40" s="62" t="str"/>
      <x:c r="T40" s="62" t="str"/>
      <x:c r="U40" s="62" t="str"/>
      <x:c r="V40" s="62" t="str"/>
      <x:c r="W40" s="62" t="str"/>
      <x:c r="X40" s="62" t="str"/>
      <x:c r="Y40" s="62" t="str">
        <x:v>Regional_Dex_Stats_and_Abilities_COMPLETE_v2.xlsx + Regional_Dex_Progression_Learnsets_v3.xlsx</x:v>
      </x:c>
    </x:row>
    <x:row r="41">
      <x:c r="A41" s="60" t="n">
        <x:v>38</x:v>
      </x:c>
      <x:c r="B41" s="62" t="str">
        <x:v>Stinglet</x:v>
      </x:c>
      <x:c r="C41" s="62" t="str">
        <x:v>Poison</x:v>
      </x:c>
      <x:c r="D41" s="62" t="str"/>
      <x:c r="E41" s="60" t="n">
        <x:v>55</x:v>
      </x:c>
      <x:c r="F41" s="60" t="n">
        <x:v>70</x:v>
      </x:c>
      <x:c r="G41" s="60" t="n">
        <x:v>55</x:v>
      </x:c>
      <x:c r="H41" s="60" t="n">
        <x:v>35</x:v>
      </x:c>
      <x:c r="I41" s="60" t="n">
        <x:v>50</x:v>
      </x:c>
      <x:c r="J41" s="60" t="n">
        <x:v>35</x:v>
      </x:c>
      <x:c r="K41" s="60" t="n">
        <x:v>300</x:v>
      </x:c>
      <x:c r="L41" s="64" t="n">
        <x:f>MAX('Growth Rules'!$B$8,ROUND(('Growth Rules'!$B$4+'Growth Rules'!$B$5*($K41-'Growth Rules'!$B$6))*(E41/($K41/6))^'Growth Rules'!$B$7,0))</x:f>
        <x:v>40</x:v>
      </x:c>
      <x:c r="M41" s="64" t="n">
        <x:f>MAX('Growth Rules'!$B$8,ROUND(('Growth Rules'!$B$4+'Growth Rules'!$B$5*($K41-'Growth Rules'!$B$6))*(F41/($K41/6))^'Growth Rules'!$B$7,0))</x:f>
        <x:v>68</x:v>
      </x:c>
      <x:c r="N41" s="64" t="n">
        <x:f>MAX('Growth Rules'!$B$8,ROUND(('Growth Rules'!$B$4+'Growth Rules'!$B$5*($K41-'Growth Rules'!$B$6))*(G41/($K41/6))^'Growth Rules'!$B$7,0))</x:f>
        <x:v>40</x:v>
      </x:c>
      <x:c r="O41" s="64" t="n">
        <x:f>MAX('Growth Rules'!$B$8,ROUND(('Growth Rules'!$B$4+'Growth Rules'!$B$5*($K41-'Growth Rules'!$B$6))*(H41/($K41/6))^'Growth Rules'!$B$7,0))</x:f>
        <x:v>14</x:v>
      </x:c>
      <x:c r="P41" s="64" t="n">
        <x:f>MAX('Growth Rules'!$B$8,ROUND(('Growth Rules'!$B$4+'Growth Rules'!$B$5*($K41-'Growth Rules'!$B$6))*(I41/($K41/6))^'Growth Rules'!$B$7,0))</x:f>
        <x:v>32</x:v>
      </x:c>
      <x:c r="Q41" s="64" t="n">
        <x:f>MAX('Growth Rules'!$B$8,ROUND(('Growth Rules'!$B$4+'Growth Rules'!$B$5*($K41-'Growth Rules'!$B$6))*(J41/($K41/6))^'Growth Rules'!$B$7,0))</x:f>
        <x:v>14</x:v>
      </x:c>
      <x:c r="R41" s="66" t="n">
        <x:f>SUM(L41:Q41)/100</x:f>
        <x:v>2.08</x:v>
      </x:c>
      <x:c r="S41" s="62" t="str">
        <x:v>Trebuchor</x:v>
      </x:c>
      <x:c r="T41" s="62" t="str">
        <x:v>LEVEL</x:v>
      </x:c>
      <x:c r="U41" s="62" t="str">
        <x:v>26</x:v>
      </x:c>
      <x:c r="V41" s="62" t="str"/>
      <x:c r="W41" s="62" t="str">
        <x:v>26</x:v>
      </x:c>
      <x:c r="X41" s="62" t="str">
        <x:v>KEEP EXISTING / VALIDATED</x:v>
      </x:c>
      <x:c r="Y41" s="62" t="str">
        <x:v>Regional_Dex_Stats_and_Abilities_COMPLETE_v2.xlsx + Regional_Dex_Progression_Learnsets_v3.xlsx</x:v>
      </x:c>
    </x:row>
    <x:row r="42">
      <x:c r="A42" s="60" t="n">
        <x:v>39</x:v>
      </x:c>
      <x:c r="B42" s="62" t="str">
        <x:v>Trebuchor</x:v>
      </x:c>
      <x:c r="C42" s="62" t="str">
        <x:v>Poison</x:v>
      </x:c>
      <x:c r="D42" s="62" t="str">
        <x:v>Rock</x:v>
      </x:c>
      <x:c r="E42" s="60" t="n">
        <x:v>100</x:v>
      </x:c>
      <x:c r="F42" s="60" t="n">
        <x:v>125</x:v>
      </x:c>
      <x:c r="G42" s="60" t="n">
        <x:v>100</x:v>
      </x:c>
      <x:c r="H42" s="60" t="n">
        <x:v>50</x:v>
      </x:c>
      <x:c r="I42" s="60" t="n">
        <x:v>75</x:v>
      </x:c>
      <x:c r="J42" s="60" t="n">
        <x:v>50</x:v>
      </x:c>
      <x:c r="K42" s="60" t="n">
        <x:v>500</x:v>
      </x:c>
      <x:c r="L42" s="64" t="n">
        <x:f>MAX('Growth Rules'!$B$8,ROUND(('Growth Rules'!$B$4+'Growth Rules'!$B$5*($K42-'Growth Rules'!$B$6))*(E42/($K42/6))^'Growth Rules'!$B$7,0))</x:f>
        <x:v>66</x:v>
      </x:c>
      <x:c r="M42" s="64" t="n">
        <x:f>MAX('Growth Rules'!$B$8,ROUND(('Growth Rules'!$B$4+'Growth Rules'!$B$5*($K42-'Growth Rules'!$B$6))*(F42/($K42/6))^'Growth Rules'!$B$7,0))</x:f>
        <x:v>110</x:v>
      </x:c>
      <x:c r="N42" s="64" t="n">
        <x:f>MAX('Growth Rules'!$B$8,ROUND(('Growth Rules'!$B$4+'Growth Rules'!$B$5*($K42-'Growth Rules'!$B$6))*(G42/($K42/6))^'Growth Rules'!$B$7,0))</x:f>
        <x:v>66</x:v>
      </x:c>
      <x:c r="O42" s="64" t="n">
        <x:f>MAX('Growth Rules'!$B$8,ROUND(('Growth Rules'!$B$4+'Growth Rules'!$B$5*($K42-'Growth Rules'!$B$6))*(H42/($K42/6))^'Growth Rules'!$B$7,0))</x:f>
        <x:v>14</x:v>
      </x:c>
      <x:c r="P42" s="64" t="n">
        <x:f>MAX('Growth Rules'!$B$8,ROUND(('Growth Rules'!$B$4+'Growth Rules'!$B$5*($K42-'Growth Rules'!$B$6))*(I42/($K42/6))^'Growth Rules'!$B$7,0))</x:f>
        <x:v>35</x:v>
      </x:c>
      <x:c r="Q42" s="64" t="n">
        <x:f>MAX('Growth Rules'!$B$8,ROUND(('Growth Rules'!$B$4+'Growth Rules'!$B$5*($K42-'Growth Rules'!$B$6))*(J42/($K42/6))^'Growth Rules'!$B$7,0))</x:f>
        <x:v>14</x:v>
      </x:c>
      <x:c r="R42" s="66" t="n">
        <x:f>SUM(L42:Q42)/100</x:f>
        <x:v>3.05</x:v>
      </x:c>
      <x:c r="S42" s="62" t="str"/>
      <x:c r="T42" s="62" t="str"/>
      <x:c r="U42" s="62" t="str"/>
      <x:c r="V42" s="62" t="str"/>
      <x:c r="W42" s="62" t="str"/>
      <x:c r="X42" s="62" t="str"/>
      <x:c r="Y42" s="62" t="str">
        <x:v>Regional_Dex_Stats_and_Abilities_COMPLETE_v2.xlsx + Regional_Dex_Progression_Learnsets_v3.xlsx</x:v>
      </x:c>
    </x:row>
    <x:row r="43">
      <x:c r="A43" s="60" t="n">
        <x:v>40</x:v>
      </x:c>
      <x:c r="B43" s="62" t="str">
        <x:v>Niblust</x:v>
      </x:c>
      <x:c r="C43" s="62" t="str">
        <x:v>Bug</x:v>
      </x:c>
      <x:c r="D43" s="62" t="str"/>
      <x:c r="E43" s="60" t="n">
        <x:v>40</x:v>
      </x:c>
      <x:c r="F43" s="60" t="n">
        <x:v>55</x:v>
      </x:c>
      <x:c r="G43" s="60" t="n">
        <x:v>35</x:v>
      </x:c>
      <x:c r="H43" s="60" t="n">
        <x:v>35</x:v>
      </x:c>
      <x:c r="I43" s="60" t="n">
        <x:v>45</x:v>
      </x:c>
      <x:c r="J43" s="60" t="n">
        <x:v>75</x:v>
      </x:c>
      <x:c r="K43" s="60" t="n">
        <x:v>285</x:v>
      </x:c>
      <x:c r="L43" s="64" t="n">
        <x:f>MAX('Growth Rules'!$B$8,ROUND(('Growth Rules'!$B$4+'Growth Rules'!$B$5*($K43-'Growth Rules'!$B$6))*(E43/($K43/6))^'Growth Rules'!$B$7,0))</x:f>
        <x:v>21</x:v>
      </x:c>
      <x:c r="M43" s="64" t="n">
        <x:f>MAX('Growth Rules'!$B$8,ROUND(('Growth Rules'!$B$4+'Growth Rules'!$B$5*($K43-'Growth Rules'!$B$6))*(F43/($K43/6))^'Growth Rules'!$B$7,0))</x:f>
        <x:v>43</x:v>
      </x:c>
      <x:c r="N43" s="64" t="n">
        <x:f>MAX('Growth Rules'!$B$8,ROUND(('Growth Rules'!$B$4+'Growth Rules'!$B$5*($K43-'Growth Rules'!$B$6))*(G43/($K43/6))^'Growth Rules'!$B$7,0))</x:f>
        <x:v>16</x:v>
      </x:c>
      <x:c r="O43" s="64" t="n">
        <x:f>MAX('Growth Rules'!$B$8,ROUND(('Growth Rules'!$B$4+'Growth Rules'!$B$5*($K43-'Growth Rules'!$B$6))*(H43/($K43/6))^'Growth Rules'!$B$7,0))</x:f>
        <x:v>16</x:v>
      </x:c>
      <x:c r="P43" s="64" t="n">
        <x:f>MAX('Growth Rules'!$B$8,ROUND(('Growth Rules'!$B$4+'Growth Rules'!$B$5*($K43-'Growth Rules'!$B$6))*(I43/($K43/6))^'Growth Rules'!$B$7,0))</x:f>
        <x:v>28</x:v>
      </x:c>
      <x:c r="Q43" s="64" t="n">
        <x:f>MAX('Growth Rules'!$B$8,ROUND(('Growth Rules'!$B$4+'Growth Rules'!$B$5*($K43-'Growth Rules'!$B$6))*(J43/($K43/6))^'Growth Rules'!$B$7,0))</x:f>
        <x:v>87</x:v>
      </x:c>
      <x:c r="R43" s="66" t="n">
        <x:f>SUM(L43:Q43)/100</x:f>
        <x:v>2.11</x:v>
      </x:c>
      <x:c r="S43" s="62" t="str">
        <x:v>Locruin</x:v>
      </x:c>
      <x:c r="T43" s="62" t="str">
        <x:v>LEVEL</x:v>
      </x:c>
      <x:c r="U43" s="62" t="str">
        <x:v>26</x:v>
      </x:c>
      <x:c r="V43" s="62" t="str"/>
      <x:c r="W43" s="62" t="str">
        <x:v>26</x:v>
      </x:c>
      <x:c r="X43" s="62" t="str">
        <x:v>KEEP EXISTING / VALIDATED</x:v>
      </x:c>
      <x:c r="Y43" s="62" t="str">
        <x:v>Regional_Dex_Stats_and_Abilities_COMPLETE_v2.xlsx + Regional_Dex_Progression_Learnsets_v3.xlsx</x:v>
      </x:c>
    </x:row>
    <x:row r="44">
      <x:c r="A44" s="60" t="n">
        <x:v>41</x:v>
      </x:c>
      <x:c r="B44" s="62" t="str">
        <x:v>Locruin</x:v>
      </x:c>
      <x:c r="C44" s="62" t="str">
        <x:v>Bug</x:v>
      </x:c>
      <x:c r="D44" s="62" t="str">
        <x:v>Dark</x:v>
      </x:c>
      <x:c r="E44" s="60" t="n">
        <x:v>60</x:v>
      </x:c>
      <x:c r="F44" s="60" t="n">
        <x:v>100</x:v>
      </x:c>
      <x:c r="G44" s="60" t="n">
        <x:v>60</x:v>
      </x:c>
      <x:c r="H44" s="60" t="n">
        <x:v>60</x:v>
      </x:c>
      <x:c r="I44" s="60" t="n">
        <x:v>75</x:v>
      </x:c>
      <x:c r="J44" s="60" t="n">
        <x:v>125</x:v>
      </x:c>
      <x:c r="K44" s="60" t="n">
        <x:v>480</x:v>
      </x:c>
      <x:c r="L44" s="64" t="n">
        <x:f>MAX('Growth Rules'!$B$8,ROUND(('Growth Rules'!$B$4+'Growth Rules'!$B$5*($K44-'Growth Rules'!$B$6))*(E44/($K44/6))^'Growth Rules'!$B$7,0))</x:f>
        <x:v>22</x:v>
      </x:c>
      <x:c r="M44" s="64" t="n">
        <x:f>MAX('Growth Rules'!$B$8,ROUND(('Growth Rules'!$B$4+'Growth Rules'!$B$5*($K44-'Growth Rules'!$B$6))*(F44/($K44/6))^'Growth Rules'!$B$7,0))</x:f>
        <x:v>71</x:v>
      </x:c>
      <x:c r="N44" s="64" t="n">
        <x:f>MAX('Growth Rules'!$B$8,ROUND(('Growth Rules'!$B$4+'Growth Rules'!$B$5*($K44-'Growth Rules'!$B$6))*(G44/($K44/6))^'Growth Rules'!$B$7,0))</x:f>
        <x:v>22</x:v>
      </x:c>
      <x:c r="O44" s="64" t="n">
        <x:f>MAX('Growth Rules'!$B$8,ROUND(('Growth Rules'!$B$4+'Growth Rules'!$B$5*($K44-'Growth Rules'!$B$6))*(H44/($K44/6))^'Growth Rules'!$B$7,0))</x:f>
        <x:v>22</x:v>
      </x:c>
      <x:c r="P44" s="64" t="n">
        <x:f>MAX('Growth Rules'!$B$8,ROUND(('Growth Rules'!$B$4+'Growth Rules'!$B$5*($K44-'Growth Rules'!$B$6))*(I44/($K44/6))^'Growth Rules'!$B$7,0))</x:f>
        <x:v>37</x:v>
      </x:c>
      <x:c r="Q44" s="64" t="n">
        <x:f>MAX('Growth Rules'!$B$8,ROUND(('Growth Rules'!$B$4+'Growth Rules'!$B$5*($K44-'Growth Rules'!$B$6))*(J44/($K44/6))^'Growth Rules'!$B$7,0))</x:f>
        <x:v>117</x:v>
      </x:c>
      <x:c r="R44" s="66" t="n">
        <x:f>SUM(L44:Q44)/100</x:f>
        <x:v>2.91</x:v>
      </x:c>
      <x:c r="S44" s="62" t="str"/>
      <x:c r="T44" s="62" t="str"/>
      <x:c r="U44" s="62" t="str"/>
      <x:c r="V44" s="62" t="str"/>
      <x:c r="W44" s="62" t="str"/>
      <x:c r="X44" s="62" t="str"/>
      <x:c r="Y44" s="62" t="str">
        <x:v>Regional_Dex_Stats_and_Abilities_COMPLETE_v2.xlsx + Regional_Dex_Progression_Learnsets_v3.xlsx</x:v>
      </x:c>
    </x:row>
    <x:row r="45">
      <x:c r="A45" s="60" t="n">
        <x:v>42</x:v>
      </x:c>
      <x:c r="B45" s="62" t="str">
        <x:v>Sprigfawn</x:v>
      </x:c>
      <x:c r="C45" s="62" t="str">
        <x:v>Grass</x:v>
      </x:c>
      <x:c r="D45" s="62" t="str"/>
      <x:c r="E45" s="60" t="n">
        <x:v>50</x:v>
      </x:c>
      <x:c r="F45" s="60" t="n">
        <x:v>50</x:v>
      </x:c>
      <x:c r="G45" s="60" t="n">
        <x:v>40</x:v>
      </x:c>
      <x:c r="H45" s="60" t="n">
        <x:v>50</x:v>
      </x:c>
      <x:c r="I45" s="60" t="n">
        <x:v>55</x:v>
      </x:c>
      <x:c r="J45" s="60" t="n">
        <x:v>55</x:v>
      </x:c>
      <x:c r="K45" s="60" t="n">
        <x:v>300</x:v>
      </x:c>
      <x:c r="L45" s="64" t="n">
        <x:f>MAX('Growth Rules'!$B$8,ROUND(('Growth Rules'!$B$4+'Growth Rules'!$B$5*($K45-'Growth Rules'!$B$6))*(E45/($K45/6))^'Growth Rules'!$B$7,0))</x:f>
        <x:v>32</x:v>
      </x:c>
      <x:c r="M45" s="64" t="n">
        <x:f>MAX('Growth Rules'!$B$8,ROUND(('Growth Rules'!$B$4+'Growth Rules'!$B$5*($K45-'Growth Rules'!$B$6))*(F45/($K45/6))^'Growth Rules'!$B$7,0))</x:f>
        <x:v>32</x:v>
      </x:c>
      <x:c r="N45" s="64" t="n">
        <x:f>MAX('Growth Rules'!$B$8,ROUND(('Growth Rules'!$B$4+'Growth Rules'!$B$5*($K45-'Growth Rules'!$B$6))*(G45/($K45/6))^'Growth Rules'!$B$7,0))</x:f>
        <x:v>19</x:v>
      </x:c>
      <x:c r="O45" s="64" t="n">
        <x:f>MAX('Growth Rules'!$B$8,ROUND(('Growth Rules'!$B$4+'Growth Rules'!$B$5*($K45-'Growth Rules'!$B$6))*(H45/($K45/6))^'Growth Rules'!$B$7,0))</x:f>
        <x:v>32</x:v>
      </x:c>
      <x:c r="P45" s="64" t="n">
        <x:f>MAX('Growth Rules'!$B$8,ROUND(('Growth Rules'!$B$4+'Growth Rules'!$B$5*($K45-'Growth Rules'!$B$6))*(I45/($K45/6))^'Growth Rules'!$B$7,0))</x:f>
        <x:v>40</x:v>
      </x:c>
      <x:c r="Q45" s="64" t="n">
        <x:f>MAX('Growth Rules'!$B$8,ROUND(('Growth Rules'!$B$4+'Growth Rules'!$B$5*($K45-'Growth Rules'!$B$6))*(J45/($K45/6))^'Growth Rules'!$B$7,0))</x:f>
        <x:v>40</x:v>
      </x:c>
      <x:c r="R45" s="66" t="n">
        <x:f>SUM(L45:Q45)/100</x:f>
        <x:v>1.95</x:v>
      </x:c>
      <x:c r="S45" s="62" t="str">
        <x:v>Olehart</x:v>
      </x:c>
      <x:c r="T45" s="62" t="str">
        <x:v>LEVEL</x:v>
      </x:c>
      <x:c r="U45" s="62" t="str">
        <x:v>26</x:v>
      </x:c>
      <x:c r="V45" s="62" t="str"/>
      <x:c r="W45" s="62" t="str">
        <x:v>26</x:v>
      </x:c>
      <x:c r="X45" s="62" t="str">
        <x:v>KEEP EXISTING / VALIDATED</x:v>
      </x:c>
      <x:c r="Y45" s="62" t="str">
        <x:v>Regional_Dex_Stats_and_Abilities_COMPLETE_v2.xlsx + Regional_Dex_Progression_Learnsets_v3.xlsx</x:v>
      </x:c>
    </x:row>
    <x:row r="46">
      <x:c r="A46" s="60" t="n">
        <x:v>43</x:v>
      </x:c>
      <x:c r="B46" s="62" t="str">
        <x:v>Olehart</x:v>
      </x:c>
      <x:c r="C46" s="62" t="str">
        <x:v>Grass</x:v>
      </x:c>
      <x:c r="D46" s="62" t="str">
        <x:v>Fairy</x:v>
      </x:c>
      <x:c r="E46" s="60" t="n">
        <x:v>95</x:v>
      </x:c>
      <x:c r="F46" s="60" t="n">
        <x:v>70</x:v>
      </x:c>
      <x:c r="G46" s="60" t="n">
        <x:v>70</x:v>
      </x:c>
      <x:c r="H46" s="60" t="n">
        <x:v>100</x:v>
      </x:c>
      <x:c r="I46" s="60" t="n">
        <x:v>100</x:v>
      </x:c>
      <x:c r="J46" s="60" t="n">
        <x:v>70</x:v>
      </x:c>
      <x:c r="K46" s="60" t="n">
        <x:v>505</x:v>
      </x:c>
      <x:c r="L46" s="64" t="n">
        <x:f>MAX('Growth Rules'!$B$8,ROUND(('Growth Rules'!$B$4+'Growth Rules'!$B$5*($K46-'Growth Rules'!$B$6))*(E46/($K46/6))^'Growth Rules'!$B$7,0))</x:f>
        <x:v>58</x:v>
      </x:c>
      <x:c r="M46" s="64" t="n">
        <x:f>MAX('Growth Rules'!$B$8,ROUND(('Growth Rules'!$B$4+'Growth Rules'!$B$5*($K46-'Growth Rules'!$B$6))*(F46/($K46/6))^'Growth Rules'!$B$7,0))</x:f>
        <x:v>29</x:v>
      </x:c>
      <x:c r="N46" s="64" t="n">
        <x:f>MAX('Growth Rules'!$B$8,ROUND(('Growth Rules'!$B$4+'Growth Rules'!$B$5*($K46-'Growth Rules'!$B$6))*(G46/($K46/6))^'Growth Rules'!$B$7,0))</x:f>
        <x:v>29</x:v>
      </x:c>
      <x:c r="O46" s="64" t="n">
        <x:f>MAX('Growth Rules'!$B$8,ROUND(('Growth Rules'!$B$4+'Growth Rules'!$B$5*($K46-'Growth Rules'!$B$6))*(H46/($K46/6))^'Growth Rules'!$B$7,0))</x:f>
        <x:v>65</x:v>
      </x:c>
      <x:c r="P46" s="64" t="n">
        <x:f>MAX('Growth Rules'!$B$8,ROUND(('Growth Rules'!$B$4+'Growth Rules'!$B$5*($K46-'Growth Rules'!$B$6))*(I46/($K46/6))^'Growth Rules'!$B$7,0))</x:f>
        <x:v>65</x:v>
      </x:c>
      <x:c r="Q46" s="64" t="n">
        <x:f>MAX('Growth Rules'!$B$8,ROUND(('Growth Rules'!$B$4+'Growth Rules'!$B$5*($K46-'Growth Rules'!$B$6))*(J46/($K46/6))^'Growth Rules'!$B$7,0))</x:f>
        <x:v>29</x:v>
      </x:c>
      <x:c r="R46" s="66" t="n">
        <x:f>SUM(L46:Q46)/100</x:f>
        <x:v>2.75</x:v>
      </x:c>
      <x:c r="S46" s="62" t="str"/>
      <x:c r="T46" s="62" t="str"/>
      <x:c r="U46" s="62" t="str"/>
      <x:c r="V46" s="62" t="str"/>
      <x:c r="W46" s="62" t="str"/>
      <x:c r="X46" s="62" t="str"/>
      <x:c r="Y46" s="62" t="str">
        <x:v>Regional_Dex_Stats_and_Abilities_COMPLETE_v2.xlsx + Regional_Dex_Progression_Learnsets_v3.xlsx</x:v>
      </x:c>
    </x:row>
    <x:row r="47">
      <x:c r="A47" s="60" t="n">
        <x:v>44</x:v>
      </x:c>
      <x:c r="B47" s="62" t="str">
        <x:v>Cubanner</x:v>
      </x:c>
      <x:c r="C47" s="62" t="str">
        <x:v>Normal</x:v>
      </x:c>
      <x:c r="D47" s="62" t="str"/>
      <x:c r="E47" s="60" t="n">
        <x:v>50</x:v>
      </x:c>
      <x:c r="F47" s="60" t="n">
        <x:v>70</x:v>
      </x:c>
      <x:c r="G47" s="60" t="n">
        <x:v>55</x:v>
      </x:c>
      <x:c r="H47" s="60" t="n">
        <x:v>35</x:v>
      </x:c>
      <x:c r="I47" s="60" t="n">
        <x:v>50</x:v>
      </x:c>
      <x:c r="J47" s="60" t="n">
        <x:v>50</x:v>
      </x:c>
      <x:c r="K47" s="60" t="n">
        <x:v>310</x:v>
      </x:c>
      <x:c r="L47" s="64" t="n">
        <x:f>MAX('Growth Rules'!$B$8,ROUND(('Growth Rules'!$B$4+'Growth Rules'!$B$5*($K47-'Growth Rules'!$B$6))*(E47/($K47/6))^'Growth Rules'!$B$7,0))</x:f>
        <x:v>30</x:v>
      </x:c>
      <x:c r="M47" s="64" t="n">
        <x:f>MAX('Growth Rules'!$B$8,ROUND(('Growth Rules'!$B$4+'Growth Rules'!$B$5*($K47-'Growth Rules'!$B$6))*(F47/($K47/6))^'Growth Rules'!$B$7,0))</x:f>
        <x:v>65</x:v>
      </x:c>
      <x:c r="N47" s="64" t="n">
        <x:f>MAX('Growth Rules'!$B$8,ROUND(('Growth Rules'!$B$4+'Growth Rules'!$B$5*($K47-'Growth Rules'!$B$6))*(G47/($K47/6))^'Growth Rules'!$B$7,0))</x:f>
        <x:v>38</x:v>
      </x:c>
      <x:c r="O47" s="64" t="n">
        <x:f>MAX('Growth Rules'!$B$8,ROUND(('Growth Rules'!$B$4+'Growth Rules'!$B$5*($K47-'Growth Rules'!$B$6))*(H47/($K47/6))^'Growth Rules'!$B$7,0))</x:f>
        <x:v>14</x:v>
      </x:c>
      <x:c r="P47" s="64" t="n">
        <x:f>MAX('Growth Rules'!$B$8,ROUND(('Growth Rules'!$B$4+'Growth Rules'!$B$5*($K47-'Growth Rules'!$B$6))*(I47/($K47/6))^'Growth Rules'!$B$7,0))</x:f>
        <x:v>30</x:v>
      </x:c>
      <x:c r="Q47" s="64" t="n">
        <x:f>MAX('Growth Rules'!$B$8,ROUND(('Growth Rules'!$B$4+'Growth Rules'!$B$5*($K47-'Growth Rules'!$B$6))*(J47/($K47/6))^'Growth Rules'!$B$7,0))</x:f>
        <x:v>30</x:v>
      </x:c>
      <x:c r="R47" s="66" t="n">
        <x:f>SUM(L47:Q47)/100</x:f>
        <x:v>2.07</x:v>
      </x:c>
      <x:c r="S47" s="62" t="str">
        <x:v>Prideguard</x:v>
      </x:c>
      <x:c r="T47" s="62" t="str">
        <x:v>LEVEL</x:v>
      </x:c>
      <x:c r="U47" s="62" t="str">
        <x:v>20</x:v>
      </x:c>
      <x:c r="V47" s="62" t="str"/>
      <x:c r="W47" s="62" t="str">
        <x:v>20</x:v>
      </x:c>
      <x:c r="X47" s="62" t="str">
        <x:v>KEEP EXISTING / VALIDATED</x:v>
      </x:c>
      <x:c r="Y47" s="62" t="str">
        <x:v>Regional_Dex_Stats_and_Abilities_COMPLETE_v2.xlsx + Regional_Dex_Progression_Learnsets_v3.xlsx</x:v>
      </x:c>
    </x:row>
    <x:row r="48">
      <x:c r="A48" s="60" t="n">
        <x:v>45</x:v>
      </x:c>
      <x:c r="B48" s="62" t="str">
        <x:v>Prideguard</x:v>
      </x:c>
      <x:c r="C48" s="62" t="str">
        <x:v>Fighting</x:v>
      </x:c>
      <x:c r="D48" s="62" t="str"/>
      <x:c r="E48" s="60" t="n">
        <x:v>85</x:v>
      </x:c>
      <x:c r="F48" s="60" t="n">
        <x:v>90</x:v>
      </x:c>
      <x:c r="G48" s="60" t="n">
        <x:v>75</x:v>
      </x:c>
      <x:c r="H48" s="60" t="n">
        <x:v>40</x:v>
      </x:c>
      <x:c r="I48" s="60" t="n">
        <x:v>65</x:v>
      </x:c>
      <x:c r="J48" s="60" t="n">
        <x:v>65</x:v>
      </x:c>
      <x:c r="K48" s="60" t="n">
        <x:v>420</x:v>
      </x:c>
      <x:c r="L48" s="64" t="n">
        <x:f>MAX('Growth Rules'!$B$8,ROUND(('Growth Rules'!$B$4+'Growth Rules'!$B$5*($K48-'Growth Rules'!$B$6))*(E48/($K48/6))^'Growth Rules'!$B$7,0))</x:f>
        <x:v>61</x:v>
      </x:c>
      <x:c r="M48" s="64" t="n">
        <x:f>MAX('Growth Rules'!$B$8,ROUND(('Growth Rules'!$B$4+'Growth Rules'!$B$5*($K48-'Growth Rules'!$B$6))*(F48/($K48/6))^'Growth Rules'!$B$7,0))</x:f>
        <x:v>69</x:v>
      </x:c>
      <x:c r="N48" s="64" t="n">
        <x:f>MAX('Growth Rules'!$B$8,ROUND(('Growth Rules'!$B$4+'Growth Rules'!$B$5*($K48-'Growth Rules'!$B$6))*(G48/($K48/6))^'Growth Rules'!$B$7,0))</x:f>
        <x:v>46</x:v>
      </x:c>
      <x:c r="O48" s="64" t="n">
        <x:f>MAX('Growth Rules'!$B$8,ROUND(('Growth Rules'!$B$4+'Growth Rules'!$B$5*($K48-'Growth Rules'!$B$6))*(H48/($K48/6))^'Growth Rules'!$B$7,0))</x:f>
        <x:v>11</x:v>
      </x:c>
      <x:c r="P48" s="64" t="n">
        <x:f>MAX('Growth Rules'!$B$8,ROUND(('Growth Rules'!$B$4+'Growth Rules'!$B$5*($K48-'Growth Rules'!$B$6))*(I48/($K48/6))^'Growth Rules'!$B$7,0))</x:f>
        <x:v>33</x:v>
      </x:c>
      <x:c r="Q48" s="64" t="n">
        <x:f>MAX('Growth Rules'!$B$8,ROUND(('Growth Rules'!$B$4+'Growth Rules'!$B$5*($K48-'Growth Rules'!$B$6))*(J48/($K48/6))^'Growth Rules'!$B$7,0))</x:f>
        <x:v>33</x:v>
      </x:c>
      <x:c r="R48" s="66" t="n">
        <x:f>SUM(L48:Q48)/100</x:f>
        <x:v>2.53</x:v>
      </x:c>
      <x:c r="S48" s="62" t="str">
        <x:v>Leonarch</x:v>
      </x:c>
      <x:c r="T48" s="62" t="str">
        <x:v>LEVEL</x:v>
      </x:c>
      <x:c r="U48" s="62" t="str">
        <x:v>38</x:v>
      </x:c>
      <x:c r="V48" s="62" t="str"/>
      <x:c r="W48" s="62" t="str">
        <x:v>38</x:v>
      </x:c>
      <x:c r="X48" s="62" t="str">
        <x:v>KEEP EXISTING / VALIDATED</x:v>
      </x:c>
      <x:c r="Y48" s="62" t="str">
        <x:v>Regional_Dex_Stats_and_Abilities_COMPLETE_v2.xlsx + Regional_Dex_Progression_Learnsets_v3.xlsx</x:v>
      </x:c>
    </x:row>
    <x:row r="49">
      <x:c r="A49" s="60" t="n">
        <x:v>46</x:v>
      </x:c>
      <x:c r="B49" s="62" t="str">
        <x:v>Leonarch</x:v>
      </x:c>
      <x:c r="C49" s="62" t="str">
        <x:v>Fighting</x:v>
      </x:c>
      <x:c r="D49" s="62" t="str">
        <x:v>Fairy</x:v>
      </x:c>
      <x:c r="E49" s="60" t="n">
        <x:v>100</x:v>
      </x:c>
      <x:c r="F49" s="60" t="n">
        <x:v>100</x:v>
      </x:c>
      <x:c r="G49" s="60" t="n">
        <x:v>100</x:v>
      </x:c>
      <x:c r="H49" s="60" t="n">
        <x:v>60</x:v>
      </x:c>
      <x:c r="I49" s="60" t="n">
        <x:v>100</x:v>
      </x:c>
      <x:c r="J49" s="60" t="n">
        <x:v>75</x:v>
      </x:c>
      <x:c r="K49" s="60" t="n">
        <x:v>535</x:v>
      </x:c>
      <x:c r="L49" s="64" t="n">
        <x:f>MAX('Growth Rules'!$B$8,ROUND(('Growth Rules'!$B$4+'Growth Rules'!$B$5*($K49-'Growth Rules'!$B$6))*(E49/($K49/6))^'Growth Rules'!$B$7,0))</x:f>
        <x:v>60</x:v>
      </x:c>
      <x:c r="M49" s="64" t="n">
        <x:f>MAX('Growth Rules'!$B$8,ROUND(('Growth Rules'!$B$4+'Growth Rules'!$B$5*($K49-'Growth Rules'!$B$6))*(F49/($K49/6))^'Growth Rules'!$B$7,0))</x:f>
        <x:v>60</x:v>
      </x:c>
      <x:c r="N49" s="64" t="n">
        <x:f>MAX('Growth Rules'!$B$8,ROUND(('Growth Rules'!$B$4+'Growth Rules'!$B$5*($K49-'Growth Rules'!$B$6))*(G49/($K49/6))^'Growth Rules'!$B$7,0))</x:f>
        <x:v>60</x:v>
      </x:c>
      <x:c r="O49" s="64" t="n">
        <x:f>MAX('Growth Rules'!$B$8,ROUND(('Growth Rules'!$B$4+'Growth Rules'!$B$5*($K49-'Growth Rules'!$B$6))*(H49/($K49/6))^'Growth Rules'!$B$7,0))</x:f>
        <x:v>19</x:v>
      </x:c>
      <x:c r="P49" s="64" t="n">
        <x:f>MAX('Growth Rules'!$B$8,ROUND(('Growth Rules'!$B$4+'Growth Rules'!$B$5*($K49-'Growth Rules'!$B$6))*(I49/($K49/6))^'Growth Rules'!$B$7,0))</x:f>
        <x:v>60</x:v>
      </x:c>
      <x:c r="Q49" s="64" t="n">
        <x:f>MAX('Growth Rules'!$B$8,ROUND(('Growth Rules'!$B$4+'Growth Rules'!$B$5*($K49-'Growth Rules'!$B$6))*(J49/($K49/6))^'Growth Rules'!$B$7,0))</x:f>
        <x:v>31</x:v>
      </x:c>
      <x:c r="R49" s="66" t="n">
        <x:f>SUM(L49:Q49)/100</x:f>
        <x:v>2.9</x:v>
      </x:c>
      <x:c r="S49" s="62" t="str"/>
      <x:c r="T49" s="62" t="str"/>
      <x:c r="U49" s="62" t="str"/>
      <x:c r="V49" s="62" t="str"/>
      <x:c r="W49" s="62" t="str"/>
      <x:c r="X49" s="62" t="str"/>
      <x:c r="Y49" s="62" t="str">
        <x:v>Regional_Dex_Stats_and_Abilities_COMPLETE_v2.xlsx + Regional_Dex_Progression_Learnsets_v3.xlsx</x:v>
      </x:c>
    </x:row>
    <x:row r="50">
      <x:c r="A50" s="60" t="n">
        <x:v>47</x:v>
      </x:c>
      <x:c r="B50" s="62" t="str">
        <x:v>Rutlet</x:v>
      </x:c>
      <x:c r="C50" s="62" t="str">
        <x:v>Ground</x:v>
      </x:c>
      <x:c r="D50" s="62" t="str"/>
      <x:c r="E50" s="60" t="n">
        <x:v>60</x:v>
      </x:c>
      <x:c r="F50" s="60" t="n">
        <x:v>70</x:v>
      </x:c>
      <x:c r="G50" s="60" t="n">
        <x:v>50</x:v>
      </x:c>
      <x:c r="H50" s="60" t="n">
        <x:v>35</x:v>
      </x:c>
      <x:c r="I50" s="60" t="n">
        <x:v>50</x:v>
      </x:c>
      <x:c r="J50" s="60" t="n">
        <x:v>40</x:v>
      </x:c>
      <x:c r="K50" s="60" t="n">
        <x:v>305</x:v>
      </x:c>
      <x:c r="L50" s="64" t="n">
        <x:f>MAX('Growth Rules'!$B$8,ROUND(('Growth Rules'!$B$4+'Growth Rules'!$B$5*($K50-'Growth Rules'!$B$6))*(E50/($K50/6))^'Growth Rules'!$B$7,0))</x:f>
        <x:v>47</x:v>
      </x:c>
      <x:c r="M50" s="64" t="n">
        <x:f>MAX('Growth Rules'!$B$8,ROUND(('Growth Rules'!$B$4+'Growth Rules'!$B$5*($K50-'Growth Rules'!$B$6))*(F50/($K50/6))^'Growth Rules'!$B$7,0))</x:f>
        <x:v>66</x:v>
      </x:c>
      <x:c r="N50" s="64" t="n">
        <x:f>MAX('Growth Rules'!$B$8,ROUND(('Growth Rules'!$B$4+'Growth Rules'!$B$5*($K50-'Growth Rules'!$B$6))*(G50/($K50/6))^'Growth Rules'!$B$7,0))</x:f>
        <x:v>31</x:v>
      </x:c>
      <x:c r="O50" s="64" t="n">
        <x:f>MAX('Growth Rules'!$B$8,ROUND(('Growth Rules'!$B$4+'Growth Rules'!$B$5*($K50-'Growth Rules'!$B$6))*(H50/($K50/6))^'Growth Rules'!$B$7,0))</x:f>
        <x:v>14</x:v>
      </x:c>
      <x:c r="P50" s="64" t="n">
        <x:f>MAX('Growth Rules'!$B$8,ROUND(('Growth Rules'!$B$4+'Growth Rules'!$B$5*($K50-'Growth Rules'!$B$6))*(I50/($K50/6))^'Growth Rules'!$B$7,0))</x:f>
        <x:v>31</x:v>
      </x:c>
      <x:c r="Q50" s="64" t="n">
        <x:f>MAX('Growth Rules'!$B$8,ROUND(('Growth Rules'!$B$4+'Growth Rules'!$B$5*($K50-'Growth Rules'!$B$6))*(J50/($K50/6))^'Growth Rules'!$B$7,0))</x:f>
        <x:v>19</x:v>
      </x:c>
      <x:c r="R50" s="66" t="n">
        <x:f>SUM(L50:Q50)/100</x:f>
        <x:v>2.08</x:v>
      </x:c>
      <x:c r="S50" s="62" t="str">
        <x:v>Ramporque</x:v>
      </x:c>
      <x:c r="T50" s="62" t="str">
        <x:v>LEVEL</x:v>
      </x:c>
      <x:c r="U50" s="62" t="str">
        <x:v>26</x:v>
      </x:c>
      <x:c r="V50" s="62" t="str"/>
      <x:c r="W50" s="62" t="str">
        <x:v>26</x:v>
      </x:c>
      <x:c r="X50" s="62" t="str">
        <x:v>KEEP EXISTING / VALIDATED</x:v>
      </x:c>
      <x:c r="Y50" s="62" t="str">
        <x:v>Regional_Dex_Stats_and_Abilities_COMPLETE_v2.xlsx + Regional_Dex_Progression_Learnsets_v3.xlsx</x:v>
      </x:c>
    </x:row>
    <x:row r="51">
      <x:c r="A51" s="60" t="n">
        <x:v>48</x:v>
      </x:c>
      <x:c r="B51" s="62" t="str">
        <x:v>Ramporque</x:v>
      </x:c>
      <x:c r="C51" s="62" t="str">
        <x:v>Ground</x:v>
      </x:c>
      <x:c r="D51" s="62" t="str">
        <x:v>Fighting</x:v>
      </x:c>
      <x:c r="E51" s="60" t="n">
        <x:v>100</x:v>
      </x:c>
      <x:c r="F51" s="60" t="n">
        <x:v>125</x:v>
      </x:c>
      <x:c r="G51" s="60" t="n">
        <x:v>100</x:v>
      </x:c>
      <x:c r="H51" s="60" t="n">
        <x:v>45</x:v>
      </x:c>
      <x:c r="I51" s="60" t="n">
        <x:v>75</x:v>
      </x:c>
      <x:c r="J51" s="60" t="n">
        <x:v>60</x:v>
      </x:c>
      <x:c r="K51" s="60" t="n">
        <x:v>505</x:v>
      </x:c>
      <x:c r="L51" s="64" t="n">
        <x:f>MAX('Growth Rules'!$B$8,ROUND(('Growth Rules'!$B$4+'Growth Rules'!$B$5*($K51-'Growth Rules'!$B$6))*(E51/($K51/6))^'Growth Rules'!$B$7,0))</x:f>
        <x:v>65</x:v>
      </x:c>
      <x:c r="M51" s="64" t="n">
        <x:f>MAX('Growth Rules'!$B$8,ROUND(('Growth Rules'!$B$4+'Growth Rules'!$B$5*($K51-'Growth Rules'!$B$6))*(F51/($K51/6))^'Growth Rules'!$B$7,0))</x:f>
        <x:v>108</x:v>
      </x:c>
      <x:c r="N51" s="64" t="n">
        <x:f>MAX('Growth Rules'!$B$8,ROUND(('Growth Rules'!$B$4+'Growth Rules'!$B$5*($K51-'Growth Rules'!$B$6))*(G51/($K51/6))^'Growth Rules'!$B$7,0))</x:f>
        <x:v>65</x:v>
      </x:c>
      <x:c r="O51" s="64" t="n">
        <x:f>MAX('Growth Rules'!$B$8,ROUND(('Growth Rules'!$B$4+'Growth Rules'!$B$5*($K51-'Growth Rules'!$B$6))*(H51/($K51/6))^'Growth Rules'!$B$7,0))</x:f>
        <x:v>11</x:v>
      </x:c>
      <x:c r="P51" s="64" t="n">
        <x:f>MAX('Growth Rules'!$B$8,ROUND(('Growth Rules'!$B$4+'Growth Rules'!$B$5*($K51-'Growth Rules'!$B$6))*(I51/($K51/6))^'Growth Rules'!$B$7,0))</x:f>
        <x:v>34</x:v>
      </x:c>
      <x:c r="Q51" s="64" t="n">
        <x:f>MAX('Growth Rules'!$B$8,ROUND(('Growth Rules'!$B$4+'Growth Rules'!$B$5*($K51-'Growth Rules'!$B$6))*(J51/($K51/6))^'Growth Rules'!$B$7,0))</x:f>
        <x:v>21</x:v>
      </x:c>
      <x:c r="R51" s="66" t="n">
        <x:f>SUM(L51:Q51)/100</x:f>
        <x:v>3.04</x:v>
      </x:c>
      <x:c r="S51" s="62" t="str"/>
      <x:c r="T51" s="62" t="str"/>
      <x:c r="U51" s="62" t="str"/>
      <x:c r="V51" s="62" t="str"/>
      <x:c r="W51" s="62" t="str"/>
      <x:c r="X51" s="62" t="str"/>
      <x:c r="Y51" s="62" t="str">
        <x:v>Regional_Dex_Stats_and_Abilities_COMPLETE_v2.xlsx + Regional_Dex_Progression_Learnsets_v3.xlsx</x:v>
      </x:c>
    </x:row>
    <x:row r="52">
      <x:c r="A52" s="60" t="n">
        <x:v>49</x:v>
      </x:c>
      <x:c r="B52" s="62" t="str">
        <x:v>Mirascal</x:v>
      </x:c>
      <x:c r="C52" s="62" t="str">
        <x:v>Fire</x:v>
      </x:c>
      <x:c r="D52" s="62" t="str"/>
      <x:c r="E52" s="60" t="n">
        <x:v>40</x:v>
      </x:c>
      <x:c r="F52" s="60" t="n">
        <x:v>35</x:v>
      </x:c>
      <x:c r="G52" s="60" t="n">
        <x:v>35</x:v>
      </x:c>
      <x:c r="H52" s="60" t="n">
        <x:v>70</x:v>
      </x:c>
      <x:c r="I52" s="60" t="n">
        <x:v>50</x:v>
      </x:c>
      <x:c r="J52" s="60" t="n">
        <x:v>70</x:v>
      </x:c>
      <x:c r="K52" s="60" t="n">
        <x:v>300</x:v>
      </x:c>
      <x:c r="L52" s="64" t="n">
        <x:f>MAX('Growth Rules'!$B$8,ROUND(('Growth Rules'!$B$4+'Growth Rules'!$B$5*($K52-'Growth Rules'!$B$6))*(E52/($K52/6))^'Growth Rules'!$B$7,0))</x:f>
        <x:v>19</x:v>
      </x:c>
      <x:c r="M52" s="64" t="n">
        <x:f>MAX('Growth Rules'!$B$8,ROUND(('Growth Rules'!$B$4+'Growth Rules'!$B$5*($K52-'Growth Rules'!$B$6))*(F52/($K52/6))^'Growth Rules'!$B$7,0))</x:f>
        <x:v>14</x:v>
      </x:c>
      <x:c r="N52" s="64" t="n">
        <x:f>MAX('Growth Rules'!$B$8,ROUND(('Growth Rules'!$B$4+'Growth Rules'!$B$5*($K52-'Growth Rules'!$B$6))*(G52/($K52/6))^'Growth Rules'!$B$7,0))</x:f>
        <x:v>14</x:v>
      </x:c>
      <x:c r="O52" s="64" t="n">
        <x:f>MAX('Growth Rules'!$B$8,ROUND(('Growth Rules'!$B$4+'Growth Rules'!$B$5*($K52-'Growth Rules'!$B$6))*(H52/($K52/6))^'Growth Rules'!$B$7,0))</x:f>
        <x:v>68</x:v>
      </x:c>
      <x:c r="P52" s="64" t="n">
        <x:f>MAX('Growth Rules'!$B$8,ROUND(('Growth Rules'!$B$4+'Growth Rules'!$B$5*($K52-'Growth Rules'!$B$6))*(I52/($K52/6))^'Growth Rules'!$B$7,0))</x:f>
        <x:v>32</x:v>
      </x:c>
      <x:c r="Q52" s="64" t="n">
        <x:f>MAX('Growth Rules'!$B$8,ROUND(('Growth Rules'!$B$4+'Growth Rules'!$B$5*($K52-'Growth Rules'!$B$6))*(J52/($K52/6))^'Growth Rules'!$B$7,0))</x:f>
        <x:v>68</x:v>
      </x:c>
      <x:c r="R52" s="66" t="n">
        <x:f>SUM(L52:Q52)/100</x:f>
        <x:v>2.15</x:v>
      </x:c>
      <x:c r="S52" s="62" t="str">
        <x:v>Sunscint</x:v>
      </x:c>
      <x:c r="T52" s="62" t="str">
        <x:v>LEVEL</x:v>
      </x:c>
      <x:c r="U52" s="62" t="str">
        <x:v>26</x:v>
      </x:c>
      <x:c r="V52" s="62" t="str"/>
      <x:c r="W52" s="62" t="str">
        <x:v>26</x:v>
      </x:c>
      <x:c r="X52" s="62" t="str">
        <x:v>KEEP EXISTING / VALIDATED</x:v>
      </x:c>
      <x:c r="Y52" s="62" t="str">
        <x:v>Regional_Dex_Stats_and_Abilities_COMPLETE_v2.xlsx + Regional_Dex_Progression_Learnsets_v3.xlsx</x:v>
      </x:c>
    </x:row>
    <x:row r="53">
      <x:c r="A53" s="60" t="n">
        <x:v>50</x:v>
      </x:c>
      <x:c r="B53" s="62" t="str">
        <x:v>Sunscint</x:v>
      </x:c>
      <x:c r="C53" s="62" t="str">
        <x:v>Fire</x:v>
      </x:c>
      <x:c r="D53" s="62" t="str">
        <x:v>Psychic</x:v>
      </x:c>
      <x:c r="E53" s="60" t="n">
        <x:v>75</x:v>
      </x:c>
      <x:c r="F53" s="60" t="n">
        <x:v>60</x:v>
      </x:c>
      <x:c r="G53" s="60" t="n">
        <x:v>60</x:v>
      </x:c>
      <x:c r="H53" s="60" t="n">
        <x:v>125</x:v>
      </x:c>
      <x:c r="I53" s="60" t="n">
        <x:v>90</x:v>
      </x:c>
      <x:c r="J53" s="60" t="n">
        <x:v>100</x:v>
      </x:c>
      <x:c r="K53" s="60" t="n">
        <x:v>510</x:v>
      </x:c>
      <x:c r="L53" s="64" t="n">
        <x:f>MAX('Growth Rules'!$B$8,ROUND(('Growth Rules'!$B$4+'Growth Rules'!$B$5*($K53-'Growth Rules'!$B$6))*(E53/($K53/6))^'Growth Rules'!$B$7,0))</x:f>
        <x:v>34</x:v>
      </x:c>
      <x:c r="M53" s="64" t="n">
        <x:f>MAX('Growth Rules'!$B$8,ROUND(('Growth Rules'!$B$4+'Growth Rules'!$B$5*($K53-'Growth Rules'!$B$6))*(F53/($K53/6))^'Growth Rules'!$B$7,0))</x:f>
        <x:v>20</x:v>
      </x:c>
      <x:c r="N53" s="64" t="n">
        <x:f>MAX('Growth Rules'!$B$8,ROUND(('Growth Rules'!$B$4+'Growth Rules'!$B$5*($K53-'Growth Rules'!$B$6))*(G53/($K53/6))^'Growth Rules'!$B$7,0))</x:f>
        <x:v>20</x:v>
      </x:c>
      <x:c r="O53" s="64" t="n">
        <x:f>MAX('Growth Rules'!$B$8,ROUND(('Growth Rules'!$B$4+'Growth Rules'!$B$5*($K53-'Growth Rules'!$B$6))*(H53/($K53/6))^'Growth Rules'!$B$7,0))</x:f>
        <x:v>106</x:v>
      </x:c>
      <x:c r="P53" s="64" t="n">
        <x:f>MAX('Growth Rules'!$B$8,ROUND(('Growth Rules'!$B$4+'Growth Rules'!$B$5*($K53-'Growth Rules'!$B$6))*(I53/($K53/6))^'Growth Rules'!$B$7,0))</x:f>
        <x:v>51</x:v>
      </x:c>
      <x:c r="Q53" s="64" t="n">
        <x:f>MAX('Growth Rules'!$B$8,ROUND(('Growth Rules'!$B$4+'Growth Rules'!$B$5*($K53-'Growth Rules'!$B$6))*(J53/($K53/6))^'Growth Rules'!$B$7,0))</x:f>
        <x:v>64</x:v>
      </x:c>
      <x:c r="R53" s="66" t="n">
        <x:f>SUM(L53:Q53)/100</x:f>
        <x:v>2.95</x:v>
      </x:c>
      <x:c r="S53" s="62" t="str"/>
      <x:c r="T53" s="62" t="str"/>
      <x:c r="U53" s="62" t="str"/>
      <x:c r="V53" s="62" t="str"/>
      <x:c r="W53" s="62" t="str"/>
      <x:c r="X53" s="62" t="str"/>
      <x:c r="Y53" s="62" t="str">
        <x:v>Regional_Dex_Stats_and_Abilities_COMPLETE_v2.xlsx + Regional_Dex_Progression_Learnsets_v3.xlsx</x:v>
      </x:c>
    </x:row>
    <x:row r="54">
      <x:c r="A54" s="60" t="n">
        <x:v>51</x:v>
      </x:c>
      <x:c r="B54" s="62" t="str">
        <x:v>Rillip</x:v>
      </x:c>
      <x:c r="C54" s="62" t="str">
        <x:v>Water</x:v>
      </x:c>
      <x:c r="D54" s="62" t="str"/>
      <x:c r="E54" s="60" t="n">
        <x:v>35</x:v>
      </x:c>
      <x:c r="F54" s="60" t="n">
        <x:v>35</x:v>
      </x:c>
      <x:c r="G54" s="60" t="n">
        <x:v>35</x:v>
      </x:c>
      <x:c r="H54" s="60" t="n">
        <x:v>60</x:v>
      </x:c>
      <x:c r="I54" s="60" t="n">
        <x:v>55</x:v>
      </x:c>
      <x:c r="J54" s="60" t="n">
        <x:v>70</x:v>
      </x:c>
      <x:c r="K54" s="60" t="n">
        <x:v>290</x:v>
      </x:c>
      <x:c r="L54" s="64" t="n">
        <x:f>MAX('Growth Rules'!$B$8,ROUND(('Growth Rules'!$B$4+'Growth Rules'!$B$5*($K54-'Growth Rules'!$B$6))*(E54/($K54/6))^'Growth Rules'!$B$7,0))</x:f>
        <x:v>15</x:v>
      </x:c>
      <x:c r="M54" s="64" t="n">
        <x:f>MAX('Growth Rules'!$B$8,ROUND(('Growth Rules'!$B$4+'Growth Rules'!$B$5*($K54-'Growth Rules'!$B$6))*(F54/($K54/6))^'Growth Rules'!$B$7,0))</x:f>
        <x:v>15</x:v>
      </x:c>
      <x:c r="N54" s="64" t="n">
        <x:f>MAX('Growth Rules'!$B$8,ROUND(('Growth Rules'!$B$4+'Growth Rules'!$B$5*($K54-'Growth Rules'!$B$6))*(G54/($K54/6))^'Growth Rules'!$B$7,0))</x:f>
        <x:v>15</x:v>
      </x:c>
      <x:c r="O54" s="64" t="n">
        <x:f>MAX('Growth Rules'!$B$8,ROUND(('Growth Rules'!$B$4+'Growth Rules'!$B$5*($K54-'Growth Rules'!$B$6))*(H54/($K54/6))^'Growth Rules'!$B$7,0))</x:f>
        <x:v>51</x:v>
      </x:c>
      <x:c r="P54" s="64" t="n">
        <x:f>MAX('Growth Rules'!$B$8,ROUND(('Growth Rules'!$B$4+'Growth Rules'!$B$5*($K54-'Growth Rules'!$B$6))*(I54/($K54/6))^'Growth Rules'!$B$7,0))</x:f>
        <x:v>42</x:v>
      </x:c>
      <x:c r="Q54" s="64" t="n">
        <x:f>MAX('Growth Rules'!$B$8,ROUND(('Growth Rules'!$B$4+'Growth Rules'!$B$5*($K54-'Growth Rules'!$B$6))*(J54/($K54/6))^'Growth Rules'!$B$7,0))</x:f>
        <x:v>72</x:v>
      </x:c>
      <x:c r="R54" s="66" t="n">
        <x:f>SUM(L54:Q54)/100</x:f>
        <x:v>2.1</x:v>
      </x:c>
      <x:c r="S54" s="62" t="str">
        <x:v>Galvaneel</x:v>
      </x:c>
      <x:c r="T54" s="62" t="str">
        <x:v>LEVEL</x:v>
      </x:c>
      <x:c r="U54" s="62" t="str">
        <x:v>28</x:v>
      </x:c>
      <x:c r="V54" s="62" t="str"/>
      <x:c r="W54" s="62" t="str">
        <x:v>28</x:v>
      </x:c>
      <x:c r="X54" s="62" t="str">
        <x:v>KEEP EXISTING / VALIDATED</x:v>
      </x:c>
      <x:c r="Y54" s="62" t="str">
        <x:v>Regional_Dex_Stats_and_Abilities_COMPLETE_v2.xlsx + Regional_Dex_Progression_Learnsets_v3.xlsx</x:v>
      </x:c>
    </x:row>
    <x:row r="55">
      <x:c r="A55" s="60" t="n">
        <x:v>52</x:v>
      </x:c>
      <x:c r="B55" s="62" t="str">
        <x:v>Galvaneel</x:v>
      </x:c>
      <x:c r="C55" s="62" t="str">
        <x:v>Water</x:v>
      </x:c>
      <x:c r="D55" s="62" t="str">
        <x:v>Electric</x:v>
      </x:c>
      <x:c r="E55" s="60" t="n">
        <x:v>75</x:v>
      </x:c>
      <x:c r="F55" s="60" t="n">
        <x:v>60</x:v>
      </x:c>
      <x:c r="G55" s="60" t="n">
        <x:v>60</x:v>
      </x:c>
      <x:c r="H55" s="60" t="n">
        <x:v>105</x:v>
      </x:c>
      <x:c r="I55" s="60" t="n">
        <x:v>75</x:v>
      </x:c>
      <x:c r="J55" s="60" t="n">
        <x:v>125</x:v>
      </x:c>
      <x:c r="K55" s="60" t="n">
        <x:v>500</x:v>
      </x:c>
      <x:c r="L55" s="64" t="n">
        <x:f>MAX('Growth Rules'!$B$8,ROUND(('Growth Rules'!$B$4+'Growth Rules'!$B$5*($K55-'Growth Rules'!$B$6))*(E55/($K55/6))^'Growth Rules'!$B$7,0))</x:f>
        <x:v>35</x:v>
      </x:c>
      <x:c r="M55" s="64" t="n">
        <x:f>MAX('Growth Rules'!$B$8,ROUND(('Growth Rules'!$B$4+'Growth Rules'!$B$5*($K55-'Growth Rules'!$B$6))*(F55/($K55/6))^'Growth Rules'!$B$7,0))</x:f>
        <x:v>21</x:v>
      </x:c>
      <x:c r="N55" s="64" t="n">
        <x:f>MAX('Growth Rules'!$B$8,ROUND(('Growth Rules'!$B$4+'Growth Rules'!$B$5*($K55-'Growth Rules'!$B$6))*(G55/($K55/6))^'Growth Rules'!$B$7,0))</x:f>
        <x:v>21</x:v>
      </x:c>
      <x:c r="O55" s="64" t="n">
        <x:f>MAX('Growth Rules'!$B$8,ROUND(('Growth Rules'!$B$4+'Growth Rules'!$B$5*($K55-'Growth Rules'!$B$6))*(H55/($K55/6))^'Growth Rules'!$B$7,0))</x:f>
        <x:v>74</x:v>
      </x:c>
      <x:c r="P55" s="64" t="n">
        <x:f>MAX('Growth Rules'!$B$8,ROUND(('Growth Rules'!$B$4+'Growth Rules'!$B$5*($K55-'Growth Rules'!$B$6))*(I55/($K55/6))^'Growth Rules'!$B$7,0))</x:f>
        <x:v>35</x:v>
      </x:c>
      <x:c r="Q55" s="64" t="n">
        <x:f>MAX('Growth Rules'!$B$8,ROUND(('Growth Rules'!$B$4+'Growth Rules'!$B$5*($K55-'Growth Rules'!$B$6))*(J55/($K55/6))^'Growth Rules'!$B$7,0))</x:f>
        <x:v>110</x:v>
      </x:c>
      <x:c r="R55" s="66" t="n">
        <x:f>SUM(L55:Q55)/100</x:f>
        <x:v>2.96</x:v>
      </x:c>
      <x:c r="S55" s="62" t="str"/>
      <x:c r="T55" s="62" t="str"/>
      <x:c r="U55" s="62" t="str"/>
      <x:c r="V55" s="62" t="str"/>
      <x:c r="W55" s="62" t="str"/>
      <x:c r="X55" s="62" t="str"/>
      <x:c r="Y55" s="62" t="str">
        <x:v>Regional_Dex_Stats_and_Abilities_COMPLETE_v2.xlsx + Regional_Dex_Progression_Learnsets_v3.xlsx</x:v>
      </x:c>
    </x:row>
    <x:row r="56">
      <x:c r="A56" s="60" t="n">
        <x:v>53</x:v>
      </x:c>
      <x:c r="B56" s="62" t="str">
        <x:v>Scripquid</x:v>
      </x:c>
      <x:c r="C56" s="62" t="str">
        <x:v>Water</x:v>
      </x:c>
      <x:c r="D56" s="62" t="str"/>
      <x:c r="E56" s="60" t="n">
        <x:v>50</x:v>
      </x:c>
      <x:c r="F56" s="60" t="n">
        <x:v>30</x:v>
      </x:c>
      <x:c r="G56" s="60" t="n">
        <x:v>40</x:v>
      </x:c>
      <x:c r="H56" s="60" t="n">
        <x:v>70</x:v>
      </x:c>
      <x:c r="I56" s="60" t="n">
        <x:v>60</x:v>
      </x:c>
      <x:c r="J56" s="60" t="n">
        <x:v>50</x:v>
      </x:c>
      <x:c r="K56" s="60" t="n">
        <x:v>300</x:v>
      </x:c>
      <x:c r="L56" s="64" t="n">
        <x:f>MAX('Growth Rules'!$B$8,ROUND(('Growth Rules'!$B$4+'Growth Rules'!$B$5*($K56-'Growth Rules'!$B$6))*(E56/($K56/6))^'Growth Rules'!$B$7,0))</x:f>
        <x:v>32</x:v>
      </x:c>
      <x:c r="M56" s="64" t="n">
        <x:f>MAX('Growth Rules'!$B$8,ROUND(('Growth Rules'!$B$4+'Growth Rules'!$B$5*($K56-'Growth Rules'!$B$6))*(F56/($K56/6))^'Growth Rules'!$B$7,0))</x:f>
        <x:v>10</x:v>
      </x:c>
      <x:c r="N56" s="64" t="n">
        <x:f>MAX('Growth Rules'!$B$8,ROUND(('Growth Rules'!$B$4+'Growth Rules'!$B$5*($K56-'Growth Rules'!$B$6))*(G56/($K56/6))^'Growth Rules'!$B$7,0))</x:f>
        <x:v>19</x:v>
      </x:c>
      <x:c r="O56" s="64" t="n">
        <x:f>MAX('Growth Rules'!$B$8,ROUND(('Growth Rules'!$B$4+'Growth Rules'!$B$5*($K56-'Growth Rules'!$B$6))*(H56/($K56/6))^'Growth Rules'!$B$7,0))</x:f>
        <x:v>68</x:v>
      </x:c>
      <x:c r="P56" s="64" t="n">
        <x:f>MAX('Growth Rules'!$B$8,ROUND(('Growth Rules'!$B$4+'Growth Rules'!$B$5*($K56-'Growth Rules'!$B$6))*(I56/($K56/6))^'Growth Rules'!$B$7,0))</x:f>
        <x:v>48</x:v>
      </x:c>
      <x:c r="Q56" s="64" t="n">
        <x:f>MAX('Growth Rules'!$B$8,ROUND(('Growth Rules'!$B$4+'Growth Rules'!$B$5*($K56-'Growth Rules'!$B$6))*(J56/($K56/6))^'Growth Rules'!$B$7,0))</x:f>
        <x:v>32</x:v>
      </x:c>
      <x:c r="R56" s="66" t="n">
        <x:f>SUM(L56:Q56)/100</x:f>
        <x:v>2.09</x:v>
      </x:c>
      <x:c r="S56" s="62" t="str">
        <x:v>Palimopus</x:v>
      </x:c>
      <x:c r="T56" s="62" t="str">
        <x:v>LEVEL</x:v>
      </x:c>
      <x:c r="U56" s="62" t="str">
        <x:v>28</x:v>
      </x:c>
      <x:c r="V56" s="62" t="str"/>
      <x:c r="W56" s="62" t="str">
        <x:v>28</x:v>
      </x:c>
      <x:c r="X56" s="62" t="str">
        <x:v>KEEP EXISTING / VALIDATED</x:v>
      </x:c>
      <x:c r="Y56" s="62" t="str">
        <x:v>Regional_Dex_Stats_and_Abilities_COMPLETE_v2.xlsx + Regional_Dex_Progression_Learnsets_v3.xlsx</x:v>
      </x:c>
    </x:row>
    <x:row r="57">
      <x:c r="A57" s="60" t="n">
        <x:v>54</x:v>
      </x:c>
      <x:c r="B57" s="62" t="str">
        <x:v>Palimopus</x:v>
      </x:c>
      <x:c r="C57" s="62" t="str">
        <x:v>Water</x:v>
      </x:c>
      <x:c r="D57" s="62" t="str">
        <x:v>Psychic</x:v>
      </x:c>
      <x:c r="E57" s="60" t="n">
        <x:v>100</x:v>
      </x:c>
      <x:c r="F57" s="60" t="n">
        <x:v>50</x:v>
      </x:c>
      <x:c r="G57" s="60" t="n">
        <x:v>75</x:v>
      </x:c>
      <x:c r="H57" s="60" t="n">
        <x:v>105</x:v>
      </x:c>
      <x:c r="I57" s="60" t="n">
        <x:v>105</x:v>
      </x:c>
      <x:c r="J57" s="60" t="n">
        <x:v>75</x:v>
      </x:c>
      <x:c r="K57" s="60" t="n">
        <x:v>510</x:v>
      </x:c>
      <x:c r="L57" s="64" t="n">
        <x:f>MAX('Growth Rules'!$B$8,ROUND(('Growth Rules'!$B$4+'Growth Rules'!$B$5*($K57-'Growth Rules'!$B$6))*(E57/($K57/6))^'Growth Rules'!$B$7,0))</x:f>
        <x:v>64</x:v>
      </x:c>
      <x:c r="M57" s="64" t="n">
        <x:f>MAX('Growth Rules'!$B$8,ROUND(('Growth Rules'!$B$4+'Growth Rules'!$B$5*($K57-'Growth Rules'!$B$6))*(F57/($K57/6))^'Growth Rules'!$B$7,0))</x:f>
        <x:v>14</x:v>
      </x:c>
      <x:c r="N57" s="64" t="n">
        <x:f>MAX('Growth Rules'!$B$8,ROUND(('Growth Rules'!$B$4+'Growth Rules'!$B$5*($K57-'Growth Rules'!$B$6))*(G57/($K57/6))^'Growth Rules'!$B$7,0))</x:f>
        <x:v>34</x:v>
      </x:c>
      <x:c r="O57" s="64" t="n">
        <x:f>MAX('Growth Rules'!$B$8,ROUND(('Growth Rules'!$B$4+'Growth Rules'!$B$5*($K57-'Growth Rules'!$B$6))*(H57/($K57/6))^'Growth Rules'!$B$7,0))</x:f>
        <x:v>72</x:v>
      </x:c>
      <x:c r="P57" s="64" t="n">
        <x:f>MAX('Growth Rules'!$B$8,ROUND(('Growth Rules'!$B$4+'Growth Rules'!$B$5*($K57-'Growth Rules'!$B$6))*(I57/($K57/6))^'Growth Rules'!$B$7,0))</x:f>
        <x:v>72</x:v>
      </x:c>
      <x:c r="Q57" s="64" t="n">
        <x:f>MAX('Growth Rules'!$B$8,ROUND(('Growth Rules'!$B$4+'Growth Rules'!$B$5*($K57-'Growth Rules'!$B$6))*(J57/($K57/6))^'Growth Rules'!$B$7,0))</x:f>
        <x:v>34</x:v>
      </x:c>
      <x:c r="R57" s="66" t="n">
        <x:f>SUM(L57:Q57)/100</x:f>
        <x:v>2.9</x:v>
      </x:c>
      <x:c r="S57" s="62" t="str"/>
      <x:c r="T57" s="62" t="str"/>
      <x:c r="U57" s="62" t="str"/>
      <x:c r="V57" s="62" t="str"/>
      <x:c r="W57" s="62" t="str"/>
      <x:c r="X57" s="62" t="str"/>
      <x:c r="Y57" s="62" t="str">
        <x:v>Regional_Dex_Stats_and_Abilities_COMPLETE_v2.xlsx + Regional_Dex_Progression_Learnsets_v3.xlsx</x:v>
      </x:c>
    </x:row>
    <x:row r="58">
      <x:c r="A58" s="60" t="n">
        <x:v>55</x:v>
      </x:c>
      <x:c r="B58" s="62" t="str">
        <x:v>Chalkit</x:v>
      </x:c>
      <x:c r="C58" s="62" t="str">
        <x:v>Rock</x:v>
      </x:c>
      <x:c r="D58" s="62" t="str">
        <x:v>Flying</x:v>
      </x:c>
      <x:c r="E58" s="60" t="n">
        <x:v>40</x:v>
      </x:c>
      <x:c r="F58" s="60" t="n">
        <x:v>50</x:v>
      </x:c>
      <x:c r="G58" s="60" t="n">
        <x:v>60</x:v>
      </x:c>
      <x:c r="H58" s="60" t="n">
        <x:v>30</x:v>
      </x:c>
      <x:c r="I58" s="60" t="n">
        <x:v>50</x:v>
      </x:c>
      <x:c r="J58" s="60" t="n">
        <x:v>70</x:v>
      </x:c>
      <x:c r="K58" s="60" t="n">
        <x:v>300</x:v>
      </x:c>
      <x:c r="L58" s="64" t="n">
        <x:f>MAX('Growth Rules'!$B$8,ROUND(('Growth Rules'!$B$4+'Growth Rules'!$B$5*($K58-'Growth Rules'!$B$6))*(E58/($K58/6))^'Growth Rules'!$B$7,0))</x:f>
        <x:v>19</x:v>
      </x:c>
      <x:c r="M58" s="64" t="n">
        <x:f>MAX('Growth Rules'!$B$8,ROUND(('Growth Rules'!$B$4+'Growth Rules'!$B$5*($K58-'Growth Rules'!$B$6))*(F58/($K58/6))^'Growth Rules'!$B$7,0))</x:f>
        <x:v>32</x:v>
      </x:c>
      <x:c r="N58" s="64" t="n">
        <x:f>MAX('Growth Rules'!$B$8,ROUND(('Growth Rules'!$B$4+'Growth Rules'!$B$5*($K58-'Growth Rules'!$B$6))*(G58/($K58/6))^'Growth Rules'!$B$7,0))</x:f>
        <x:v>48</x:v>
      </x:c>
      <x:c r="O58" s="64" t="n">
        <x:f>MAX('Growth Rules'!$B$8,ROUND(('Growth Rules'!$B$4+'Growth Rules'!$B$5*($K58-'Growth Rules'!$B$6))*(H58/($K58/6))^'Growth Rules'!$B$7,0))</x:f>
        <x:v>10</x:v>
      </x:c>
      <x:c r="P58" s="64" t="n">
        <x:f>MAX('Growth Rules'!$B$8,ROUND(('Growth Rules'!$B$4+'Growth Rules'!$B$5*($K58-'Growth Rules'!$B$6))*(I58/($K58/6))^'Growth Rules'!$B$7,0))</x:f>
        <x:v>32</x:v>
      </x:c>
      <x:c r="Q58" s="64" t="n">
        <x:f>MAX('Growth Rules'!$B$8,ROUND(('Growth Rules'!$B$4+'Growth Rules'!$B$5*($K58-'Growth Rules'!$B$6))*(J58/($K58/6))^'Growth Rules'!$B$7,0))</x:f>
        <x:v>68</x:v>
      </x:c>
      <x:c r="R58" s="66" t="n">
        <x:f>SUM(L58:Q58)/100</x:f>
        <x:v>2.09</x:v>
      </x:c>
      <x:c r="S58" s="62" t="str">
        <x:v>Albannor</x:v>
      </x:c>
      <x:c r="T58" s="62" t="str">
        <x:v>LEVEL</x:v>
      </x:c>
      <x:c r="U58" s="62" t="str">
        <x:v>26</x:v>
      </x:c>
      <x:c r="V58" s="62" t="str"/>
      <x:c r="W58" s="62" t="str">
        <x:v>26</x:v>
      </x:c>
      <x:c r="X58" s="62" t="str">
        <x:v>KEEP EXISTING / VALIDATED</x:v>
      </x:c>
      <x:c r="Y58" s="62" t="str">
        <x:v>Regional_Dex_Stats_and_Abilities_COMPLETE_v2.xlsx + Regional_Dex_Progression_Learnsets_v3.xlsx</x:v>
      </x:c>
    </x:row>
    <x:row r="59">
      <x:c r="A59" s="60" t="n">
        <x:v>56</x:v>
      </x:c>
      <x:c r="B59" s="62" t="str">
        <x:v>Albannor</x:v>
      </x:c>
      <x:c r="C59" s="62" t="str">
        <x:v>Rock</x:v>
      </x:c>
      <x:c r="D59" s="62" t="str">
        <x:v>Flying</x:v>
      </x:c>
      <x:c r="E59" s="60" t="n">
        <x:v>75</x:v>
      </x:c>
      <x:c r="F59" s="60" t="n">
        <x:v>85</x:v>
      </x:c>
      <x:c r="G59" s="60" t="n">
        <x:v>100</x:v>
      </x:c>
      <x:c r="H59" s="60" t="n">
        <x:v>60</x:v>
      </x:c>
      <x:c r="I59" s="60" t="n">
        <x:v>70</x:v>
      </x:c>
      <x:c r="J59" s="60" t="n">
        <x:v>100</x:v>
      </x:c>
      <x:c r="K59" s="60" t="n">
        <x:v>490</x:v>
      </x:c>
      <x:c r="L59" s="64" t="n">
        <x:f>MAX('Growth Rules'!$B$8,ROUND(('Growth Rules'!$B$4+'Growth Rules'!$B$5*($K59-'Growth Rules'!$B$6))*(E59/($K59/6))^'Growth Rules'!$B$7,0))</x:f>
        <x:v>36</x:v>
      </x:c>
      <x:c r="M59" s="64" t="n">
        <x:f>MAX('Growth Rules'!$B$8,ROUND(('Growth Rules'!$B$4+'Growth Rules'!$B$5*($K59-'Growth Rules'!$B$6))*(F59/($K59/6))^'Growth Rules'!$B$7,0))</x:f>
        <x:v>47</x:v>
      </x:c>
      <x:c r="N59" s="64" t="n">
        <x:f>MAX('Growth Rules'!$B$8,ROUND(('Growth Rules'!$B$4+'Growth Rules'!$B$5*($K59-'Growth Rules'!$B$6))*(G59/($K59/6))^'Growth Rules'!$B$7,0))</x:f>
        <x:v>68</x:v>
      </x:c>
      <x:c r="O59" s="64" t="n">
        <x:f>MAX('Growth Rules'!$B$8,ROUND(('Growth Rules'!$B$4+'Growth Rules'!$B$5*($K59-'Growth Rules'!$B$6))*(H59/($K59/6))^'Growth Rules'!$B$7,0))</x:f>
        <x:v>22</x:v>
      </x:c>
      <x:c r="P59" s="64" t="n">
        <x:f>MAX('Growth Rules'!$B$8,ROUND(('Growth Rules'!$B$4+'Growth Rules'!$B$5*($K59-'Growth Rules'!$B$6))*(I59/($K59/6))^'Growth Rules'!$B$7,0))</x:f>
        <x:v>31</x:v>
      </x:c>
      <x:c r="Q59" s="64" t="n">
        <x:f>MAX('Growth Rules'!$B$8,ROUND(('Growth Rules'!$B$4+'Growth Rules'!$B$5*($K59-'Growth Rules'!$B$6))*(J59/($K59/6))^'Growth Rules'!$B$7,0))</x:f>
        <x:v>68</x:v>
      </x:c>
      <x:c r="R59" s="66" t="n">
        <x:f>SUM(L59:Q59)/100</x:f>
        <x:v>2.72</x:v>
      </x:c>
      <x:c r="S59" s="62" t="str"/>
      <x:c r="T59" s="62" t="str"/>
      <x:c r="U59" s="62" t="str"/>
      <x:c r="V59" s="62" t="str"/>
      <x:c r="W59" s="62" t="str"/>
      <x:c r="X59" s="62" t="str"/>
      <x:c r="Y59" s="62" t="str">
        <x:v>Regional_Dex_Stats_and_Abilities_COMPLETE_v2.xlsx + Regional_Dex_Progression_Learnsets_v3.xlsx</x:v>
      </x:c>
    </x:row>
    <x:row r="60">
      <x:c r="A60" s="60" t="n">
        <x:v>57</x:v>
      </x:c>
      <x:c r="B60" s="62" t="str">
        <x:v>Censmoke</x:v>
      </x:c>
      <x:c r="C60" s="62" t="str">
        <x:v>Fire</x:v>
      </x:c>
      <x:c r="D60" s="62" t="str"/>
      <x:c r="E60" s="60" t="n">
        <x:v>55</x:v>
      </x:c>
      <x:c r="F60" s="60" t="n">
        <x:v>35</x:v>
      </x:c>
      <x:c r="G60" s="60" t="n">
        <x:v>45</x:v>
      </x:c>
      <x:c r="H60" s="60" t="n">
        <x:v>70</x:v>
      </x:c>
      <x:c r="I60" s="60" t="n">
        <x:v>50</x:v>
      </x:c>
      <x:c r="J60" s="60" t="n">
        <x:v>50</x:v>
      </x:c>
      <x:c r="K60" s="60" t="n">
        <x:v>305</x:v>
      </x:c>
      <x:c r="L60" s="64" t="n">
        <x:f>MAX('Growth Rules'!$B$8,ROUND(('Growth Rules'!$B$4+'Growth Rules'!$B$5*($K60-'Growth Rules'!$B$6))*(E60/($K60/6))^'Growth Rules'!$B$7,0))</x:f>
        <x:v>39</x:v>
      </x:c>
      <x:c r="M60" s="64" t="n">
        <x:f>MAX('Growth Rules'!$B$8,ROUND(('Growth Rules'!$B$4+'Growth Rules'!$B$5*($K60-'Growth Rules'!$B$6))*(F60/($K60/6))^'Growth Rules'!$B$7,0))</x:f>
        <x:v>14</x:v>
      </x:c>
      <x:c r="N60" s="64" t="n">
        <x:f>MAX('Growth Rules'!$B$8,ROUND(('Growth Rules'!$B$4+'Growth Rules'!$B$5*($K60-'Growth Rules'!$B$6))*(G60/($K60/6))^'Growth Rules'!$B$7,0))</x:f>
        <x:v>25</x:v>
      </x:c>
      <x:c r="O60" s="64" t="n">
        <x:f>MAX('Growth Rules'!$B$8,ROUND(('Growth Rules'!$B$4+'Growth Rules'!$B$5*($K60-'Growth Rules'!$B$6))*(H60/($K60/6))^'Growth Rules'!$B$7,0))</x:f>
        <x:v>66</x:v>
      </x:c>
      <x:c r="P60" s="64" t="n">
        <x:f>MAX('Growth Rules'!$B$8,ROUND(('Growth Rules'!$B$4+'Growth Rules'!$B$5*($K60-'Growth Rules'!$B$6))*(I60/($K60/6))^'Growth Rules'!$B$7,0))</x:f>
        <x:v>31</x:v>
      </x:c>
      <x:c r="Q60" s="64" t="n">
        <x:f>MAX('Growth Rules'!$B$8,ROUND(('Growth Rules'!$B$4+'Growth Rules'!$B$5*($K60-'Growth Rules'!$B$6))*(J60/($K60/6))^'Growth Rules'!$B$7,0))</x:f>
        <x:v>31</x:v>
      </x:c>
      <x:c r="R60" s="66" t="n">
        <x:f>SUM(L60:Q60)/100</x:f>
        <x:v>2.06</x:v>
      </x:c>
      <x:c r="S60" s="62" t="str">
        <x:v>Thurafume; Malifume</x:v>
      </x:c>
      <x:c r="T60" s="62" t="str">
        <x:v>STORY CHOICE; STORY CHOICE</x:v>
      </x:c>
      <x:c r="U60" s="62" t="str">
        <x:v>30; 30</x:v>
      </x:c>
      <x:c r="V60" s="62" t="str">
        <x:v>STORY_SANCTIFY_RELIC; STORY_DEFILE_RELIC</x:v>
      </x:c>
      <x:c r="W60" s="62" t="str">
        <x:v>30; 30</x:v>
      </x:c>
      <x:c r="X60" s="62" t="str">
        <x:v>KEEP EXISTING / VALIDATED</x:v>
      </x:c>
      <x:c r="Y60" s="62" t="str">
        <x:v>Regional_Dex_Stats_and_Abilities_COMPLETE_v2.xlsx + Regional_Dex_Progression_Learnsets_v3.xlsx</x:v>
      </x:c>
    </x:row>
    <x:row r="61">
      <x:c r="A61" s="60" t="n">
        <x:v>58</x:v>
      </x:c>
      <x:c r="B61" s="62" t="str">
        <x:v>Thurafume</x:v>
      </x:c>
      <x:c r="C61" s="62" t="str">
        <x:v>Fire</x:v>
      </x:c>
      <x:c r="D61" s="62" t="str">
        <x:v>Fairy</x:v>
      </x:c>
      <x:c r="E61" s="60" t="n">
        <x:v>90</x:v>
      </x:c>
      <x:c r="F61" s="60" t="n">
        <x:v>50</x:v>
      </x:c>
      <x:c r="G61" s="60" t="n">
        <x:v>75</x:v>
      </x:c>
      <x:c r="H61" s="60" t="n">
        <x:v>105</x:v>
      </x:c>
      <x:c r="I61" s="60" t="n">
        <x:v>105</x:v>
      </x:c>
      <x:c r="J61" s="60" t="n">
        <x:v>75</x:v>
      </x:c>
      <x:c r="K61" s="60" t="n">
        <x:v>500</x:v>
      </x:c>
      <x:c r="L61" s="64" t="n">
        <x:f>MAX('Growth Rules'!$B$8,ROUND(('Growth Rules'!$B$4+'Growth Rules'!$B$5*($K61-'Growth Rules'!$B$6))*(E61/($K61/6))^'Growth Rules'!$B$7,0))</x:f>
        <x:v>52</x:v>
      </x:c>
      <x:c r="M61" s="64" t="n">
        <x:f>MAX('Growth Rules'!$B$8,ROUND(('Growth Rules'!$B$4+'Growth Rules'!$B$5*($K61-'Growth Rules'!$B$6))*(F61/($K61/6))^'Growth Rules'!$B$7,0))</x:f>
        <x:v>14</x:v>
      </x:c>
      <x:c r="N61" s="64" t="n">
        <x:f>MAX('Growth Rules'!$B$8,ROUND(('Growth Rules'!$B$4+'Growth Rules'!$B$5*($K61-'Growth Rules'!$B$6))*(G61/($K61/6))^'Growth Rules'!$B$7,0))</x:f>
        <x:v>35</x:v>
      </x:c>
      <x:c r="O61" s="64" t="n">
        <x:f>MAX('Growth Rules'!$B$8,ROUND(('Growth Rules'!$B$4+'Growth Rules'!$B$5*($K61-'Growth Rules'!$B$6))*(H61/($K61/6))^'Growth Rules'!$B$7,0))</x:f>
        <x:v>74</x:v>
      </x:c>
      <x:c r="P61" s="64" t="n">
        <x:f>MAX('Growth Rules'!$B$8,ROUND(('Growth Rules'!$B$4+'Growth Rules'!$B$5*($K61-'Growth Rules'!$B$6))*(I61/($K61/6))^'Growth Rules'!$B$7,0))</x:f>
        <x:v>74</x:v>
      </x:c>
      <x:c r="Q61" s="64" t="n">
        <x:f>MAX('Growth Rules'!$B$8,ROUND(('Growth Rules'!$B$4+'Growth Rules'!$B$5*($K61-'Growth Rules'!$B$6))*(J61/($K61/6))^'Growth Rules'!$B$7,0))</x:f>
        <x:v>35</x:v>
      </x:c>
      <x:c r="R61" s="66" t="n">
        <x:f>SUM(L61:Q61)/100</x:f>
        <x:v>2.84</x:v>
      </x:c>
      <x:c r="S61" s="62" t="str"/>
      <x:c r="T61" s="62" t="str"/>
      <x:c r="U61" s="62" t="str"/>
      <x:c r="V61" s="62" t="str"/>
      <x:c r="W61" s="62" t="str"/>
      <x:c r="X61" s="62" t="str"/>
      <x:c r="Y61" s="62" t="str">
        <x:v>Regional_Dex_Stats_and_Abilities_COMPLETE_v2.xlsx + Regional_Dex_Progression_Learnsets_v3.xlsx</x:v>
      </x:c>
    </x:row>
    <x:row r="62">
      <x:c r="A62" s="60" t="n">
        <x:v>59</x:v>
      </x:c>
      <x:c r="B62" s="62" t="str">
        <x:v>Malifume</x:v>
      </x:c>
      <x:c r="C62" s="62" t="str">
        <x:v>Fire</x:v>
      </x:c>
      <x:c r="D62" s="62" t="str">
        <x:v>Dark</x:v>
      </x:c>
      <x:c r="E62" s="60" t="n">
        <x:v>75</x:v>
      </x:c>
      <x:c r="F62" s="60" t="n">
        <x:v>65</x:v>
      </x:c>
      <x:c r="G62" s="60" t="n">
        <x:v>75</x:v>
      </x:c>
      <x:c r="H62" s="60" t="n">
        <x:v>105</x:v>
      </x:c>
      <x:c r="I62" s="60" t="n">
        <x:v>75</x:v>
      </x:c>
      <x:c r="J62" s="60" t="n">
        <x:v>105</x:v>
      </x:c>
      <x:c r="K62" s="60" t="n">
        <x:v>500</x:v>
      </x:c>
      <x:c r="L62" s="64" t="n">
        <x:f>MAX('Growth Rules'!$B$8,ROUND(('Growth Rules'!$B$4+'Growth Rules'!$B$5*($K62-'Growth Rules'!$B$6))*(E62/($K62/6))^'Growth Rules'!$B$7,0))</x:f>
        <x:v>35</x:v>
      </x:c>
      <x:c r="M62" s="64" t="n">
        <x:f>MAX('Growth Rules'!$B$8,ROUND(('Growth Rules'!$B$4+'Growth Rules'!$B$5*($K62-'Growth Rules'!$B$6))*(F62/($K62/6))^'Growth Rules'!$B$7,0))</x:f>
        <x:v>25</x:v>
      </x:c>
      <x:c r="N62" s="64" t="n">
        <x:f>MAX('Growth Rules'!$B$8,ROUND(('Growth Rules'!$B$4+'Growth Rules'!$B$5*($K62-'Growth Rules'!$B$6))*(G62/($K62/6))^'Growth Rules'!$B$7,0))</x:f>
        <x:v>35</x:v>
      </x:c>
      <x:c r="O62" s="64" t="n">
        <x:f>MAX('Growth Rules'!$B$8,ROUND(('Growth Rules'!$B$4+'Growth Rules'!$B$5*($K62-'Growth Rules'!$B$6))*(H62/($K62/6))^'Growth Rules'!$B$7,0))</x:f>
        <x:v>74</x:v>
      </x:c>
      <x:c r="P62" s="64" t="n">
        <x:f>MAX('Growth Rules'!$B$8,ROUND(('Growth Rules'!$B$4+'Growth Rules'!$B$5*($K62-'Growth Rules'!$B$6))*(I62/($K62/6))^'Growth Rules'!$B$7,0))</x:f>
        <x:v>35</x:v>
      </x:c>
      <x:c r="Q62" s="64" t="n">
        <x:f>MAX('Growth Rules'!$B$8,ROUND(('Growth Rules'!$B$4+'Growth Rules'!$B$5*($K62-'Growth Rules'!$B$6))*(J62/($K62/6))^'Growth Rules'!$B$7,0))</x:f>
        <x:v>74</x:v>
      </x:c>
      <x:c r="R62" s="66" t="n">
        <x:f>SUM(L62:Q62)/100</x:f>
        <x:v>2.78</x:v>
      </x:c>
      <x:c r="S62" s="62" t="str"/>
      <x:c r="T62" s="62" t="str"/>
      <x:c r="U62" s="62" t="str"/>
      <x:c r="V62" s="62" t="str"/>
      <x:c r="W62" s="62" t="str"/>
      <x:c r="X62" s="62" t="str"/>
      <x:c r="Y62" s="62" t="str">
        <x:v>Regional_Dex_Stats_and_Abilities_COMPLETE_v2.xlsx + Regional_Dex_Progression_Learnsets_v3.xlsx</x:v>
      </x:c>
    </x:row>
    <x:row r="63">
      <x:c r="A63" s="60" t="n">
        <x:v>60</x:v>
      </x:c>
      <x:c r="B63" s="62" t="str">
        <x:v>Pomling</x:v>
      </x:c>
      <x:c r="C63" s="62" t="str">
        <x:v>Grass</x:v>
      </x:c>
      <x:c r="D63" s="62" t="str"/>
      <x:c r="E63" s="60" t="n">
        <x:v>40</x:v>
      </x:c>
      <x:c r="F63" s="60" t="n">
        <x:v>50</x:v>
      </x:c>
      <x:c r="G63" s="60" t="n">
        <x:v>35</x:v>
      </x:c>
      <x:c r="H63" s="60" t="n">
        <x:v>50</x:v>
      </x:c>
      <x:c r="I63" s="60" t="n">
        <x:v>50</x:v>
      </x:c>
      <x:c r="J63" s="60" t="n">
        <x:v>70</x:v>
      </x:c>
      <x:c r="K63" s="60" t="n">
        <x:v>295</x:v>
      </x:c>
      <x:c r="L63" s="64" t="n">
        <x:f>MAX('Growth Rules'!$B$8,ROUND(('Growth Rules'!$B$4+'Growth Rules'!$B$5*($K63-'Growth Rules'!$B$6))*(E63/($K63/6))^'Growth Rules'!$B$7,0))</x:f>
        <x:v>20</x:v>
      </x:c>
      <x:c r="M63" s="64" t="n">
        <x:f>MAX('Growth Rules'!$B$8,ROUND(('Growth Rules'!$B$4+'Growth Rules'!$B$5*($K63-'Growth Rules'!$B$6))*(F63/($K63/6))^'Growth Rules'!$B$7,0))</x:f>
        <x:v>33</x:v>
      </x:c>
      <x:c r="N63" s="64" t="n">
        <x:f>MAX('Growth Rules'!$B$8,ROUND(('Growth Rules'!$B$4+'Growth Rules'!$B$5*($K63-'Growth Rules'!$B$6))*(G63/($K63/6))^'Growth Rules'!$B$7,0))</x:f>
        <x:v>15</x:v>
      </x:c>
      <x:c r="O63" s="64" t="n">
        <x:f>MAX('Growth Rules'!$B$8,ROUND(('Growth Rules'!$B$4+'Growth Rules'!$B$5*($K63-'Growth Rules'!$B$6))*(H63/($K63/6))^'Growth Rules'!$B$7,0))</x:f>
        <x:v>33</x:v>
      </x:c>
      <x:c r="P63" s="64" t="n">
        <x:f>MAX('Growth Rules'!$B$8,ROUND(('Growth Rules'!$B$4+'Growth Rules'!$B$5*($K63-'Growth Rules'!$B$6))*(I63/($K63/6))^'Growth Rules'!$B$7,0))</x:f>
        <x:v>33</x:v>
      </x:c>
      <x:c r="Q63" s="64" t="n">
        <x:f>MAX('Growth Rules'!$B$8,ROUND(('Growth Rules'!$B$4+'Growth Rules'!$B$5*($K63-'Growth Rules'!$B$6))*(J63/($K63/6))^'Growth Rules'!$B$7,0))</x:f>
        <x:v>70</x:v>
      </x:c>
      <x:c r="R63" s="66" t="n">
        <x:f>SUM(L63:Q63)/100</x:f>
        <x:v>2.04</x:v>
      </x:c>
      <x:c r="S63" s="62" t="str">
        <x:v>Granadove</x:v>
      </x:c>
      <x:c r="T63" s="62" t="str">
        <x:v>LEVEL</x:v>
      </x:c>
      <x:c r="U63" s="62" t="str">
        <x:v>26</x:v>
      </x:c>
      <x:c r="V63" s="62" t="str"/>
      <x:c r="W63" s="62" t="str">
        <x:v>26</x:v>
      </x:c>
      <x:c r="X63" s="62" t="str">
        <x:v>KEEP EXISTING / VALIDATED</x:v>
      </x:c>
      <x:c r="Y63" s="62" t="str">
        <x:v>Regional_Dex_Stats_and_Abilities_COMPLETE_v2.xlsx + Regional_Dex_Progression_Learnsets_v3.xlsx</x:v>
      </x:c>
    </x:row>
    <x:row r="64">
      <x:c r="A64" s="60" t="n">
        <x:v>61</x:v>
      </x:c>
      <x:c r="B64" s="62" t="str">
        <x:v>Granadove</x:v>
      </x:c>
      <x:c r="C64" s="62" t="str">
        <x:v>Grass</x:v>
      </x:c>
      <x:c r="D64" s="62" t="str">
        <x:v>Flying</x:v>
      </x:c>
      <x:c r="E64" s="60" t="n">
        <x:v>70</x:v>
      </x:c>
      <x:c r="F64" s="60" t="n">
        <x:v>70</x:v>
      </x:c>
      <x:c r="G64" s="60" t="n">
        <x:v>60</x:v>
      </x:c>
      <x:c r="H64" s="60" t="n">
        <x:v>85</x:v>
      </x:c>
      <x:c r="I64" s="60" t="n">
        <x:v>100</x:v>
      </x:c>
      <x:c r="J64" s="60" t="n">
        <x:v>95</x:v>
      </x:c>
      <x:c r="K64" s="60" t="n">
        <x:v>480</x:v>
      </x:c>
      <x:c r="L64" s="64" t="n">
        <x:f>MAX('Growth Rules'!$B$8,ROUND(('Growth Rules'!$B$4+'Growth Rules'!$B$5*($K64-'Growth Rules'!$B$6))*(E64/($K64/6))^'Growth Rules'!$B$7,0))</x:f>
        <x:v>32</x:v>
      </x:c>
      <x:c r="M64" s="64" t="n">
        <x:f>MAX('Growth Rules'!$B$8,ROUND(('Growth Rules'!$B$4+'Growth Rules'!$B$5*($K64-'Growth Rules'!$B$6))*(F64/($K64/6))^'Growth Rules'!$B$7,0))</x:f>
        <x:v>32</x:v>
      </x:c>
      <x:c r="N64" s="64" t="n">
        <x:f>MAX('Growth Rules'!$B$8,ROUND(('Growth Rules'!$B$4+'Growth Rules'!$B$5*($K64-'Growth Rules'!$B$6))*(G64/($K64/6))^'Growth Rules'!$B$7,0))</x:f>
        <x:v>22</x:v>
      </x:c>
      <x:c r="O64" s="64" t="n">
        <x:f>MAX('Growth Rules'!$B$8,ROUND(('Growth Rules'!$B$4+'Growth Rules'!$B$5*($K64-'Growth Rules'!$B$6))*(H64/($K64/6))^'Growth Rules'!$B$7,0))</x:f>
        <x:v>49</x:v>
      </x:c>
      <x:c r="P64" s="64" t="n">
        <x:f>MAX('Growth Rules'!$B$8,ROUND(('Growth Rules'!$B$4+'Growth Rules'!$B$5*($K64-'Growth Rules'!$B$6))*(I64/($K64/6))^'Growth Rules'!$B$7,0))</x:f>
        <x:v>71</x:v>
      </x:c>
      <x:c r="Q64" s="64" t="n">
        <x:f>MAX('Growth Rules'!$B$8,ROUND(('Growth Rules'!$B$4+'Growth Rules'!$B$5*($K64-'Growth Rules'!$B$6))*(J64/($K64/6))^'Growth Rules'!$B$7,0))</x:f>
        <x:v>63</x:v>
      </x:c>
      <x:c r="R64" s="66" t="n">
        <x:f>SUM(L64:Q64)/100</x:f>
        <x:v>2.69</x:v>
      </x:c>
      <x:c r="S64" s="62" t="str"/>
      <x:c r="T64" s="62" t="str"/>
      <x:c r="U64" s="62" t="str"/>
      <x:c r="V64" s="62" t="str"/>
      <x:c r="W64" s="62" t="str"/>
      <x:c r="X64" s="62" t="str"/>
      <x:c r="Y64" s="62" t="str">
        <x:v>Regional_Dex_Stats_and_Abilities_COMPLETE_v2.xlsx + Regional_Dex_Progression_Learnsets_v3.xlsx</x:v>
      </x:c>
    </x:row>
    <x:row r="65">
      <x:c r="A65" s="60" t="n">
        <x:v>62</x:v>
      </x:c>
      <x:c r="B65" s="62" t="str">
        <x:v>Votress</x:v>
      </x:c>
      <x:c r="C65" s="62" t="str">
        <x:v>Psychic</x:v>
      </x:c>
      <x:c r="D65" s="62" t="str"/>
      <x:c r="E65" s="60" t="n">
        <x:v>50</x:v>
      </x:c>
      <x:c r="F65" s="60" t="n">
        <x:v>35</x:v>
      </x:c>
      <x:c r="G65" s="60" t="n">
        <x:v>55</x:v>
      </x:c>
      <x:c r="H65" s="60" t="n">
        <x:v>60</x:v>
      </x:c>
      <x:c r="I65" s="60" t="n">
        <x:v>70</x:v>
      </x:c>
      <x:c r="J65" s="60" t="n">
        <x:v>50</x:v>
      </x:c>
      <x:c r="K65" s="60" t="n">
        <x:v>320</x:v>
      </x:c>
      <x:c r="L65" s="64" t="n">
        <x:f>MAX('Growth Rules'!$B$8,ROUND(('Growth Rules'!$B$4+'Growth Rules'!$B$5*($K65-'Growth Rules'!$B$6))*(E65/($K65/6))^'Growth Rules'!$B$7,0))</x:f>
        <x:v>29</x:v>
      </x:c>
      <x:c r="M65" s="64" t="n">
        <x:f>MAX('Growth Rules'!$B$8,ROUND(('Growth Rules'!$B$4+'Growth Rules'!$B$5*($K65-'Growth Rules'!$B$6))*(F65/($K65/6))^'Growth Rules'!$B$7,0))</x:f>
        <x:v>13</x:v>
      </x:c>
      <x:c r="N65" s="64" t="n">
        <x:f>MAX('Growth Rules'!$B$8,ROUND(('Growth Rules'!$B$4+'Growth Rules'!$B$5*($K65-'Growth Rules'!$B$6))*(G65/($K65/6))^'Growth Rules'!$B$7,0))</x:f>
        <x:v>36</x:v>
      </x:c>
      <x:c r="O65" s="64" t="n">
        <x:f>MAX('Growth Rules'!$B$8,ROUND(('Growth Rules'!$B$4+'Growth Rules'!$B$5*($K65-'Growth Rules'!$B$6))*(H65/($K65/6))^'Growth Rules'!$B$7,0))</x:f>
        <x:v>43</x:v>
      </x:c>
      <x:c r="P65" s="64" t="n">
        <x:f>MAX('Growth Rules'!$B$8,ROUND(('Growth Rules'!$B$4+'Growth Rules'!$B$5*($K65-'Growth Rules'!$B$6))*(I65/($K65/6))^'Growth Rules'!$B$7,0))</x:f>
        <x:v>61</x:v>
      </x:c>
      <x:c r="Q65" s="64" t="n">
        <x:f>MAX('Growth Rules'!$B$8,ROUND(('Growth Rules'!$B$4+'Growth Rules'!$B$5*($K65-'Growth Rules'!$B$6))*(J65/($K65/6))^'Growth Rules'!$B$7,0))</x:f>
        <x:v>29</x:v>
      </x:c>
      <x:c r="R65" s="66" t="n">
        <x:f>SUM(L65:Q65)/100</x:f>
        <x:v>2.11</x:v>
      </x:c>
      <x:c r="S65" s="62" t="str">
        <x:v>Sigilume; Sepulshade; Idolure</x:v>
      </x:c>
      <x:c r="T65" s="62" t="str">
        <x:v>ITEM; ITEM; ITEM</x:v>
      </x:c>
      <x:c r="U65" s="62" t="str">
        <x:v>30; 30; 30</x:v>
      </x:c>
      <x:c r="V65" s="62" t="str">
        <x:v>Iron Sigil; Grave Salt; Gilded Idol</x:v>
      </x:c>
      <x:c r="W65" s="62" t="str">
        <x:v>30; 30; 30</x:v>
      </x:c>
      <x:c r="X65" s="62" t="str">
        <x:v>KEEP EXISTING / VALIDATED</x:v>
      </x:c>
      <x:c r="Y65" s="62" t="str">
        <x:v>Regional_Dex_Stats_and_Abilities_COMPLETE_v2.xlsx + Regional_Dex_Progression_Learnsets_v3.xlsx</x:v>
      </x:c>
    </x:row>
    <x:row r="66">
      <x:c r="A66" s="60" t="n">
        <x:v>63</x:v>
      </x:c>
      <x:c r="B66" s="62" t="str">
        <x:v>Sigilume</x:v>
      </x:c>
      <x:c r="C66" s="62" t="str">
        <x:v>Psychic</x:v>
      </x:c>
      <x:c r="D66" s="62" t="str">
        <x:v>Steel</x:v>
      </x:c>
      <x:c r="E66" s="60" t="n">
        <x:v>100</x:v>
      </x:c>
      <x:c r="F66" s="60" t="n">
        <x:v>45</x:v>
      </x:c>
      <x:c r="G66" s="60" t="n">
        <x:v>100</x:v>
      </x:c>
      <x:c r="H66" s="60" t="n">
        <x:v>100</x:v>
      </x:c>
      <x:c r="I66" s="60" t="n">
        <x:v>100</x:v>
      </x:c>
      <x:c r="J66" s="60" t="n">
        <x:v>60</x:v>
      </x:c>
      <x:c r="K66" s="60" t="n">
        <x:v>505</x:v>
      </x:c>
      <x:c r="L66" s="64" t="n">
        <x:f>MAX('Growth Rules'!$B$8,ROUND(('Growth Rules'!$B$4+'Growth Rules'!$B$5*($K66-'Growth Rules'!$B$6))*(E66/($K66/6))^'Growth Rules'!$B$7,0))</x:f>
        <x:v>65</x:v>
      </x:c>
      <x:c r="M66" s="64" t="n">
        <x:f>MAX('Growth Rules'!$B$8,ROUND(('Growth Rules'!$B$4+'Growth Rules'!$B$5*($K66-'Growth Rules'!$B$6))*(F66/($K66/6))^'Growth Rules'!$B$7,0))</x:f>
        <x:v>11</x:v>
      </x:c>
      <x:c r="N66" s="64" t="n">
        <x:f>MAX('Growth Rules'!$B$8,ROUND(('Growth Rules'!$B$4+'Growth Rules'!$B$5*($K66-'Growth Rules'!$B$6))*(G66/($K66/6))^'Growth Rules'!$B$7,0))</x:f>
        <x:v>65</x:v>
      </x:c>
      <x:c r="O66" s="64" t="n">
        <x:f>MAX('Growth Rules'!$B$8,ROUND(('Growth Rules'!$B$4+'Growth Rules'!$B$5*($K66-'Growth Rules'!$B$6))*(H66/($K66/6))^'Growth Rules'!$B$7,0))</x:f>
        <x:v>65</x:v>
      </x:c>
      <x:c r="P66" s="64" t="n">
        <x:f>MAX('Growth Rules'!$B$8,ROUND(('Growth Rules'!$B$4+'Growth Rules'!$B$5*($K66-'Growth Rules'!$B$6))*(I66/($K66/6))^'Growth Rules'!$B$7,0))</x:f>
        <x:v>65</x:v>
      </x:c>
      <x:c r="Q66" s="64" t="n">
        <x:f>MAX('Growth Rules'!$B$8,ROUND(('Growth Rules'!$B$4+'Growth Rules'!$B$5*($K66-'Growth Rules'!$B$6))*(J66/($K66/6))^'Growth Rules'!$B$7,0))</x:f>
        <x:v>21</x:v>
      </x:c>
      <x:c r="R66" s="66" t="n">
        <x:f>SUM(L66:Q66)/100</x:f>
        <x:v>2.92</x:v>
      </x:c>
      <x:c r="S66" s="62" t="str"/>
      <x:c r="T66" s="62" t="str"/>
      <x:c r="U66" s="62" t="str"/>
      <x:c r="V66" s="62" t="str"/>
      <x:c r="W66" s="62" t="str"/>
      <x:c r="X66" s="62" t="str"/>
      <x:c r="Y66" s="62" t="str">
        <x:v>Regional_Dex_Stats_and_Abilities_COMPLETE_v2.xlsx + Regional_Dex_Progression_Learnsets_v3.xlsx</x:v>
      </x:c>
    </x:row>
    <x:row r="67">
      <x:c r="A67" s="60" t="n">
        <x:v>64</x:v>
      </x:c>
      <x:c r="B67" s="62" t="str">
        <x:v>Sepulshade</x:v>
      </x:c>
      <x:c r="C67" s="62" t="str">
        <x:v>Psychic</x:v>
      </x:c>
      <x:c r="D67" s="62" t="str">
        <x:v>Ghost</x:v>
      </x:c>
      <x:c r="E67" s="60" t="n">
        <x:v>90</x:v>
      </x:c>
      <x:c r="F67" s="60" t="n">
        <x:v>50</x:v>
      </x:c>
      <x:c r="G67" s="60" t="n">
        <x:v>75</x:v>
      </x:c>
      <x:c r="H67" s="60" t="n">
        <x:v>105</x:v>
      </x:c>
      <x:c r="I67" s="60" t="n">
        <x:v>125</x:v>
      </x:c>
      <x:c r="J67" s="60" t="n">
        <x:v>60</x:v>
      </x:c>
      <x:c r="K67" s="60" t="n">
        <x:v>505</x:v>
      </x:c>
      <x:c r="L67" s="64" t="n">
        <x:f>MAX('Growth Rules'!$B$8,ROUND(('Growth Rules'!$B$4+'Growth Rules'!$B$5*($K67-'Growth Rules'!$B$6))*(E67/($K67/6))^'Growth Rules'!$B$7,0))</x:f>
        <x:v>52</x:v>
      </x:c>
      <x:c r="M67" s="64" t="n">
        <x:f>MAX('Growth Rules'!$B$8,ROUND(('Growth Rules'!$B$4+'Growth Rules'!$B$5*($K67-'Growth Rules'!$B$6))*(F67/($K67/6))^'Growth Rules'!$B$7,0))</x:f>
        <x:v>14</x:v>
      </x:c>
      <x:c r="N67" s="64" t="n">
        <x:f>MAX('Growth Rules'!$B$8,ROUND(('Growth Rules'!$B$4+'Growth Rules'!$B$5*($K67-'Growth Rules'!$B$6))*(G67/($K67/6))^'Growth Rules'!$B$7,0))</x:f>
        <x:v>34</x:v>
      </x:c>
      <x:c r="O67" s="64" t="n">
        <x:f>MAX('Growth Rules'!$B$8,ROUND(('Growth Rules'!$B$4+'Growth Rules'!$B$5*($K67-'Growth Rules'!$B$6))*(H67/($K67/6))^'Growth Rules'!$B$7,0))</x:f>
        <x:v>73</x:v>
      </x:c>
      <x:c r="P67" s="64" t="n">
        <x:f>MAX('Growth Rules'!$B$8,ROUND(('Growth Rules'!$B$4+'Growth Rules'!$B$5*($K67-'Growth Rules'!$B$6))*(I67/($K67/6))^'Growth Rules'!$B$7,0))</x:f>
        <x:v>108</x:v>
      </x:c>
      <x:c r="Q67" s="64" t="n">
        <x:f>MAX('Growth Rules'!$B$8,ROUND(('Growth Rules'!$B$4+'Growth Rules'!$B$5*($K67-'Growth Rules'!$B$6))*(J67/($K67/6))^'Growth Rules'!$B$7,0))</x:f>
        <x:v>21</x:v>
      </x:c>
      <x:c r="R67" s="66" t="n">
        <x:f>SUM(L67:Q67)/100</x:f>
        <x:v>3.02</x:v>
      </x:c>
      <x:c r="S67" s="62" t="str"/>
      <x:c r="T67" s="62" t="str"/>
      <x:c r="U67" s="62" t="str"/>
      <x:c r="V67" s="62" t="str"/>
      <x:c r="W67" s="62" t="str"/>
      <x:c r="X67" s="62" t="str"/>
      <x:c r="Y67" s="62" t="str">
        <x:v>Regional_Dex_Stats_and_Abilities_COMPLETE_v2.xlsx + Regional_Dex_Progression_Learnsets_v3.xlsx</x:v>
      </x:c>
    </x:row>
    <x:row r="68">
      <x:c r="A68" s="60" t="n">
        <x:v>65</x:v>
      </x:c>
      <x:c r="B68" s="62" t="str">
        <x:v>Idolure</x:v>
      </x:c>
      <x:c r="C68" s="62" t="str">
        <x:v>Psychic</x:v>
      </x:c>
      <x:c r="D68" s="62" t="str">
        <x:v>Fairy</x:v>
      </x:c>
      <x:c r="E68" s="60" t="n">
        <x:v>75</x:v>
      </x:c>
      <x:c r="F68" s="60" t="n">
        <x:v>50</x:v>
      </x:c>
      <x:c r="G68" s="60" t="n">
        <x:v>65</x:v>
      </x:c>
      <x:c r="H68" s="60" t="n">
        <x:v>105</x:v>
      </x:c>
      <x:c r="I68" s="60" t="n">
        <x:v>105</x:v>
      </x:c>
      <x:c r="J68" s="60" t="n">
        <x:v>105</x:v>
      </x:c>
      <x:c r="K68" s="60" t="n">
        <x:v>505</x:v>
      </x:c>
      <x:c r="L68" s="64" t="n">
        <x:f>MAX('Growth Rules'!$B$8,ROUND(('Growth Rules'!$B$4+'Growth Rules'!$B$5*($K68-'Growth Rules'!$B$6))*(E68/($K68/6))^'Growth Rules'!$B$7,0))</x:f>
        <x:v>34</x:v>
      </x:c>
      <x:c r="M68" s="64" t="n">
        <x:f>MAX('Growth Rules'!$B$8,ROUND(('Growth Rules'!$B$4+'Growth Rules'!$B$5*($K68-'Growth Rules'!$B$6))*(F68/($K68/6))^'Growth Rules'!$B$7,0))</x:f>
        <x:v>14</x:v>
      </x:c>
      <x:c r="N68" s="64" t="n">
        <x:f>MAX('Growth Rules'!$B$8,ROUND(('Growth Rules'!$B$4+'Growth Rules'!$B$5*($K68-'Growth Rules'!$B$6))*(G68/($K68/6))^'Growth Rules'!$B$7,0))</x:f>
        <x:v>25</x:v>
      </x:c>
      <x:c r="O68" s="64" t="n">
        <x:f>MAX('Growth Rules'!$B$8,ROUND(('Growth Rules'!$B$4+'Growth Rules'!$B$5*($K68-'Growth Rules'!$B$6))*(H68/($K68/6))^'Growth Rules'!$B$7,0))</x:f>
        <x:v>73</x:v>
      </x:c>
      <x:c r="P68" s="64" t="n">
        <x:f>MAX('Growth Rules'!$B$8,ROUND(('Growth Rules'!$B$4+'Growth Rules'!$B$5*($K68-'Growth Rules'!$B$6))*(I68/($K68/6))^'Growth Rules'!$B$7,0))</x:f>
        <x:v>73</x:v>
      </x:c>
      <x:c r="Q68" s="64" t="n">
        <x:f>MAX('Growth Rules'!$B$8,ROUND(('Growth Rules'!$B$4+'Growth Rules'!$B$5*($K68-'Growth Rules'!$B$6))*(J68/($K68/6))^'Growth Rules'!$B$7,0))</x:f>
        <x:v>73</x:v>
      </x:c>
      <x:c r="R68" s="66" t="n">
        <x:f>SUM(L68:Q68)/100</x:f>
        <x:v>2.92</x:v>
      </x:c>
      <x:c r="S68" s="62" t="str"/>
      <x:c r="T68" s="62" t="str"/>
      <x:c r="U68" s="62" t="str"/>
      <x:c r="V68" s="62" t="str"/>
      <x:c r="W68" s="62" t="str"/>
      <x:c r="X68" s="62" t="str"/>
      <x:c r="Y68" s="62" t="str">
        <x:v>Regional_Dex_Stats_and_Abilities_COMPLETE_v2.xlsx + Regional_Dex_Progression_Learnsets_v3.xlsx</x:v>
      </x:c>
    </x:row>
    <x:row r="69">
      <x:c r="A69" s="60" t="n">
        <x:v>66</x:v>
      </x:c>
      <x:c r="B69" s="62" t="str">
        <x:v>Brackhound</x:v>
      </x:c>
      <x:c r="C69" s="62" t="str">
        <x:v>Dark</x:v>
      </x:c>
      <x:c r="D69" s="62" t="str"/>
      <x:c r="E69" s="60" t="n">
        <x:v>50</x:v>
      </x:c>
      <x:c r="F69" s="60" t="n">
        <x:v>65</x:v>
      </x:c>
      <x:c r="G69" s="60" t="n">
        <x:v>50</x:v>
      </x:c>
      <x:c r="H69" s="60" t="n">
        <x:v>30</x:v>
      </x:c>
      <x:c r="I69" s="60" t="n">
        <x:v>50</x:v>
      </x:c>
      <x:c r="J69" s="60" t="n">
        <x:v>60</x:v>
      </x:c>
      <x:c r="K69" s="60" t="n">
        <x:v>305</x:v>
      </x:c>
      <x:c r="L69" s="64" t="n">
        <x:f>MAX('Growth Rules'!$B$8,ROUND(('Growth Rules'!$B$4+'Growth Rules'!$B$5*($K69-'Growth Rules'!$B$6))*(E69/($K69/6))^'Growth Rules'!$B$7,0))</x:f>
        <x:v>31</x:v>
      </x:c>
      <x:c r="M69" s="64" t="n">
        <x:f>MAX('Growth Rules'!$B$8,ROUND(('Growth Rules'!$B$4+'Growth Rules'!$B$5*($K69-'Growth Rules'!$B$6))*(F69/($K69/6))^'Growth Rules'!$B$7,0))</x:f>
        <x:v>56</x:v>
      </x:c>
      <x:c r="N69" s="64" t="n">
        <x:f>MAX('Growth Rules'!$B$8,ROUND(('Growth Rules'!$B$4+'Growth Rules'!$B$5*($K69-'Growth Rules'!$B$6))*(G69/($K69/6))^'Growth Rules'!$B$7,0))</x:f>
        <x:v>31</x:v>
      </x:c>
      <x:c r="O69" s="64" t="n">
        <x:f>MAX('Growth Rules'!$B$8,ROUND(('Growth Rules'!$B$4+'Growth Rules'!$B$5*($K69-'Growth Rules'!$B$6))*(H69/($K69/6))^'Growth Rules'!$B$7,0))</x:f>
        <x:v>10</x:v>
      </x:c>
      <x:c r="P69" s="64" t="n">
        <x:f>MAX('Growth Rules'!$B$8,ROUND(('Growth Rules'!$B$4+'Growth Rules'!$B$5*($K69-'Growth Rules'!$B$6))*(I69/($K69/6))^'Growth Rules'!$B$7,0))</x:f>
        <x:v>31</x:v>
      </x:c>
      <x:c r="Q69" s="64" t="n">
        <x:f>MAX('Growth Rules'!$B$8,ROUND(('Growth Rules'!$B$4+'Growth Rules'!$B$5*($K69-'Growth Rules'!$B$6))*(J69/($K69/6))^'Growth Rules'!$B$7,0))</x:f>
        <x:v>47</x:v>
      </x:c>
      <x:c r="R69" s="66" t="n">
        <x:f>SUM(L69:Q69)/100</x:f>
        <x:v>2.06</x:v>
      </x:c>
      <x:c r="S69" s="62" t="str">
        <x:v>Mastigrim</x:v>
      </x:c>
      <x:c r="T69" s="62" t="str">
        <x:v>LEVEL</x:v>
      </x:c>
      <x:c r="U69" s="62" t="str">
        <x:v>24</x:v>
      </x:c>
      <x:c r="V69" s="62" t="str"/>
      <x:c r="W69" s="62" t="str">
        <x:v>24</x:v>
      </x:c>
      <x:c r="X69" s="62" t="str">
        <x:v>KEEP EXISTING / VALIDATED</x:v>
      </x:c>
      <x:c r="Y69" s="62" t="str">
        <x:v>Regional_Dex_Stats_and_Abilities_COMPLETE_v2.xlsx + Regional_Dex_Progression_Learnsets_v3.xlsx</x:v>
      </x:c>
    </x:row>
    <x:row r="70">
      <x:c r="A70" s="60" t="n">
        <x:v>67</x:v>
      </x:c>
      <x:c r="B70" s="62" t="str">
        <x:v>Mastigrim</x:v>
      </x:c>
      <x:c r="C70" s="62" t="str">
        <x:v>Dark</x:v>
      </x:c>
      <x:c r="D70" s="62" t="str">
        <x:v>Fighting</x:v>
      </x:c>
      <x:c r="E70" s="60" t="n">
        <x:v>85</x:v>
      </x:c>
      <x:c r="F70" s="60" t="n">
        <x:v>85</x:v>
      </x:c>
      <x:c r="G70" s="60" t="n">
        <x:v>85</x:v>
      </x:c>
      <x:c r="H70" s="60" t="n">
        <x:v>40</x:v>
      </x:c>
      <x:c r="I70" s="60" t="n">
        <x:v>65</x:v>
      </x:c>
      <x:c r="J70" s="60" t="n">
        <x:v>60</x:v>
      </x:c>
      <x:c r="K70" s="60" t="n">
        <x:v>420</x:v>
      </x:c>
      <x:c r="L70" s="64" t="n">
        <x:f>MAX('Growth Rules'!$B$8,ROUND(('Growth Rules'!$B$4+'Growth Rules'!$B$5*($K70-'Growth Rules'!$B$6))*(E70/($K70/6))^'Growth Rules'!$B$7,0))</x:f>
        <x:v>61</x:v>
      </x:c>
      <x:c r="M70" s="64" t="n">
        <x:f>MAX('Growth Rules'!$B$8,ROUND(('Growth Rules'!$B$4+'Growth Rules'!$B$5*($K70-'Growth Rules'!$B$6))*(F70/($K70/6))^'Growth Rules'!$B$7,0))</x:f>
        <x:v>61</x:v>
      </x:c>
      <x:c r="N70" s="64" t="n">
        <x:f>MAX('Growth Rules'!$B$8,ROUND(('Growth Rules'!$B$4+'Growth Rules'!$B$5*($K70-'Growth Rules'!$B$6))*(G70/($K70/6))^'Growth Rules'!$B$7,0))</x:f>
        <x:v>61</x:v>
      </x:c>
      <x:c r="O70" s="64" t="n">
        <x:f>MAX('Growth Rules'!$B$8,ROUND(('Growth Rules'!$B$4+'Growth Rules'!$B$5*($K70-'Growth Rules'!$B$6))*(H70/($K70/6))^'Growth Rules'!$B$7,0))</x:f>
        <x:v>11</x:v>
      </x:c>
      <x:c r="P70" s="64" t="n">
        <x:f>MAX('Growth Rules'!$B$8,ROUND(('Growth Rules'!$B$4+'Growth Rules'!$B$5*($K70-'Growth Rules'!$B$6))*(I70/($K70/6))^'Growth Rules'!$B$7,0))</x:f>
        <x:v>33</x:v>
      </x:c>
      <x:c r="Q70" s="64" t="n">
        <x:f>MAX('Growth Rules'!$B$8,ROUND(('Growth Rules'!$B$4+'Growth Rules'!$B$5*($K70-'Growth Rules'!$B$6))*(J70/($K70/6))^'Growth Rules'!$B$7,0))</x:f>
        <x:v>28</x:v>
      </x:c>
      <x:c r="R70" s="66" t="n">
        <x:f>SUM(L70:Q70)/100</x:f>
        <x:v>2.55</x:v>
      </x:c>
      <x:c r="S70" s="62" t="str">
        <x:v>Cerberrood</x:v>
      </x:c>
      <x:c r="T70" s="62" t="str">
        <x:v>LEVEL</x:v>
      </x:c>
      <x:c r="U70" s="62" t="str">
        <x:v>42</x:v>
      </x:c>
      <x:c r="V70" s="62" t="str"/>
      <x:c r="W70" s="62" t="str">
        <x:v>42</x:v>
      </x:c>
      <x:c r="X70" s="62" t="str">
        <x:v>KEEP EXISTING / VALIDATED</x:v>
      </x:c>
      <x:c r="Y70" s="62" t="str">
        <x:v>Regional_Dex_Stats_and_Abilities_COMPLETE_v2.xlsx + Regional_Dex_Progression_Learnsets_v3.xlsx</x:v>
      </x:c>
    </x:row>
    <x:row r="71">
      <x:c r="A71" s="60" t="n">
        <x:v>68</x:v>
      </x:c>
      <x:c r="B71" s="62" t="str">
        <x:v>Cerberrood</x:v>
      </x:c>
      <x:c r="C71" s="62" t="str">
        <x:v>Dark</x:v>
      </x:c>
      <x:c r="D71" s="62" t="str">
        <x:v>Fighting</x:v>
      </x:c>
      <x:c r="E71" s="60" t="n">
        <x:v>120</x:v>
      </x:c>
      <x:c r="F71" s="60" t="n">
        <x:v>100</x:v>
      </x:c>
      <x:c r="G71" s="60" t="n">
        <x:v>100</x:v>
      </x:c>
      <x:c r="H71" s="60" t="n">
        <x:v>45</x:v>
      </x:c>
      <x:c r="I71" s="60" t="n">
        <x:v>100</x:v>
      </x:c>
      <x:c r="J71" s="60" t="n">
        <x:v>60</x:v>
      </x:c>
      <x:c r="K71" s="60" t="n">
        <x:v>525</x:v>
      </x:c>
      <x:c r="L71" s="64" t="n">
        <x:f>MAX('Growth Rules'!$B$8,ROUND(('Growth Rules'!$B$4+'Growth Rules'!$B$5*($K71-'Growth Rules'!$B$6))*(E71/($K71/6))^'Growth Rules'!$B$7,0))</x:f>
        <x:v>93</x:v>
      </x:c>
      <x:c r="M71" s="64" t="n">
        <x:f>MAX('Growth Rules'!$B$8,ROUND(('Growth Rules'!$B$4+'Growth Rules'!$B$5*($K71-'Growth Rules'!$B$6))*(F71/($K71/6))^'Growth Rules'!$B$7,0))</x:f>
        <x:v>61</x:v>
      </x:c>
      <x:c r="N71" s="64" t="n">
        <x:f>MAX('Growth Rules'!$B$8,ROUND(('Growth Rules'!$B$4+'Growth Rules'!$B$5*($K71-'Growth Rules'!$B$6))*(G71/($K71/6))^'Growth Rules'!$B$7,0))</x:f>
        <x:v>61</x:v>
      </x:c>
      <x:c r="O71" s="64" t="n">
        <x:f>MAX('Growth Rules'!$B$8,ROUND(('Growth Rules'!$B$4+'Growth Rules'!$B$5*($K71-'Growth Rules'!$B$6))*(H71/($K71/6))^'Growth Rules'!$B$7,0))</x:f>
        <x:v>10</x:v>
      </x:c>
      <x:c r="P71" s="64" t="n">
        <x:f>MAX('Growth Rules'!$B$8,ROUND(('Growth Rules'!$B$4+'Growth Rules'!$B$5*($K71-'Growth Rules'!$B$6))*(I71/($K71/6))^'Growth Rules'!$B$7,0))</x:f>
        <x:v>61</x:v>
      </x:c>
      <x:c r="Q71" s="64" t="n">
        <x:f>MAX('Growth Rules'!$B$8,ROUND(('Growth Rules'!$B$4+'Growth Rules'!$B$5*($K71-'Growth Rules'!$B$6))*(J71/($K71/6))^'Growth Rules'!$B$7,0))</x:f>
        <x:v>19</x:v>
      </x:c>
      <x:c r="R71" s="66" t="n">
        <x:f>SUM(L71:Q71)/100</x:f>
        <x:v>3.05</x:v>
      </x:c>
      <x:c r="S71" s="62" t="str"/>
      <x:c r="T71" s="62" t="str"/>
      <x:c r="U71" s="62" t="str"/>
      <x:c r="V71" s="62" t="str"/>
      <x:c r="W71" s="62" t="str"/>
      <x:c r="X71" s="62" t="str"/>
      <x:c r="Y71" s="62" t="str">
        <x:v>Regional_Dex_Stats_and_Abilities_COMPLETE_v2.xlsx + Regional_Dex_Progression_Learnsets_v3.xlsx</x:v>
      </x:c>
    </x:row>
    <x:row r="72">
      <x:c r="A72" s="60" t="n">
        <x:v>69</x:v>
      </x:c>
      <x:c r="B72" s="62" t="str">
        <x:v>Murmite</x:v>
      </x:c>
      <x:c r="C72" s="62" t="str">
        <x:v>Bug</x:v>
      </x:c>
      <x:c r="D72" s="62" t="str">
        <x:v>Ghost</x:v>
      </x:c>
      <x:c r="E72" s="60" t="n">
        <x:v>60</x:v>
      </x:c>
      <x:c r="F72" s="60" t="n">
        <x:v>45</x:v>
      </x:c>
      <x:c r="G72" s="60" t="n">
        <x:v>60</x:v>
      </x:c>
      <x:c r="H72" s="60" t="n">
        <x:v>70</x:v>
      </x:c>
      <x:c r="I72" s="60" t="n">
        <x:v>95</x:v>
      </x:c>
      <x:c r="J72" s="60" t="n">
        <x:v>100</x:v>
      </x:c>
      <x:c r="K72" s="60" t="n">
        <x:v>430</x:v>
      </x:c>
      <x:c r="L72" s="64" t="n">
        <x:f>MAX('Growth Rules'!$B$8,ROUND(('Growth Rules'!$B$4+'Growth Rules'!$B$5*($K72-'Growth Rules'!$B$6))*(E72/($K72/6))^'Growth Rules'!$B$7,0))</x:f>
        <x:v>27</x:v>
      </x:c>
      <x:c r="M72" s="64" t="n">
        <x:f>MAX('Growth Rules'!$B$8,ROUND(('Growth Rules'!$B$4+'Growth Rules'!$B$5*($K72-'Growth Rules'!$B$6))*(F72/($K72/6))^'Growth Rules'!$B$7,0))</x:f>
        <x:v>14</x:v>
      </x:c>
      <x:c r="N72" s="64" t="n">
        <x:f>MAX('Growth Rules'!$B$8,ROUND(('Growth Rules'!$B$4+'Growth Rules'!$B$5*($K72-'Growth Rules'!$B$6))*(G72/($K72/6))^'Growth Rules'!$B$7,0))</x:f>
        <x:v>27</x:v>
      </x:c>
      <x:c r="O72" s="64" t="n">
        <x:f>MAX('Growth Rules'!$B$8,ROUND(('Growth Rules'!$B$4+'Growth Rules'!$B$5*($K72-'Growth Rules'!$B$6))*(H72/($K72/6))^'Growth Rules'!$B$7,0))</x:f>
        <x:v>38</x:v>
      </x:c>
      <x:c r="P72" s="64" t="n">
        <x:f>MAX('Growth Rules'!$B$8,ROUND(('Growth Rules'!$B$4+'Growth Rules'!$B$5*($K72-'Growth Rules'!$B$6))*(I72/($K72/6))^'Growth Rules'!$B$7,0))</x:f>
        <x:v>75</x:v>
      </x:c>
      <x:c r="Q72" s="64" t="n">
        <x:f>MAX('Growth Rules'!$B$8,ROUND(('Growth Rules'!$B$4+'Growth Rules'!$B$5*($K72-'Growth Rules'!$B$6))*(J72/($K72/6))^'Growth Rules'!$B$7,0))</x:f>
        <x:v>84</x:v>
      </x:c>
      <x:c r="R72" s="66" t="n">
        <x:f>SUM(L72:Q72)/100</x:f>
        <x:v>2.65</x:v>
      </x:c>
      <x:c r="S72" s="62" t="str"/>
      <x:c r="T72" s="62" t="str"/>
      <x:c r="U72" s="62" t="str"/>
      <x:c r="V72" s="62" t="str"/>
      <x:c r="W72" s="62" t="str"/>
      <x:c r="X72" s="62" t="str"/>
      <x:c r="Y72" s="62" t="str">
        <x:v>Regional_Dex_Stats_and_Abilities_COMPLETE_v2.xlsx + Regional_Dex_Progression_Learnsets_v3.xlsx</x:v>
      </x:c>
    </x:row>
    <x:row r="73">
      <x:c r="A73" s="60" t="n">
        <x:v>70</x:v>
      </x:c>
      <x:c r="B73" s="62" t="str">
        <x:v>Cairant</x:v>
      </x:c>
      <x:c r="C73" s="62" t="str">
        <x:v>Dragon</x:v>
      </x:c>
      <x:c r="D73" s="62" t="str"/>
      <x:c r="E73" s="60" t="n">
        <x:v>55</x:v>
      </x:c>
      <x:c r="F73" s="60" t="n">
        <x:v>55</x:v>
      </x:c>
      <x:c r="G73" s="60" t="n">
        <x:v>55</x:v>
      </x:c>
      <x:c r="H73" s="60" t="n">
        <x:v>55</x:v>
      </x:c>
      <x:c r="I73" s="60" t="n">
        <x:v>55</x:v>
      </x:c>
      <x:c r="J73" s="60" t="n">
        <x:v>55</x:v>
      </x:c>
      <x:c r="K73" s="60" t="n">
        <x:v>330</x:v>
      </x:c>
      <x:c r="L73" s="64" t="n">
        <x:f>MAX('Growth Rules'!$B$8,ROUND(('Growth Rules'!$B$4+'Growth Rules'!$B$5*($K73-'Growth Rules'!$B$6))*(E73/($K73/6))^'Growth Rules'!$B$7,0))</x:f>
        <x:v>34</x:v>
      </x:c>
      <x:c r="M73" s="64" t="n">
        <x:f>MAX('Growth Rules'!$B$8,ROUND(('Growth Rules'!$B$4+'Growth Rules'!$B$5*($K73-'Growth Rules'!$B$6))*(F73/($K73/6))^'Growth Rules'!$B$7,0))</x:f>
        <x:v>34</x:v>
      </x:c>
      <x:c r="N73" s="64" t="n">
        <x:f>MAX('Growth Rules'!$B$8,ROUND(('Growth Rules'!$B$4+'Growth Rules'!$B$5*($K73-'Growth Rules'!$B$6))*(G73/($K73/6))^'Growth Rules'!$B$7,0))</x:f>
        <x:v>34</x:v>
      </x:c>
      <x:c r="O73" s="64" t="n">
        <x:f>MAX('Growth Rules'!$B$8,ROUND(('Growth Rules'!$B$4+'Growth Rules'!$B$5*($K73-'Growth Rules'!$B$6))*(H73/($K73/6))^'Growth Rules'!$B$7,0))</x:f>
        <x:v>34</x:v>
      </x:c>
      <x:c r="P73" s="64" t="n">
        <x:f>MAX('Growth Rules'!$B$8,ROUND(('Growth Rules'!$B$4+'Growth Rules'!$B$5*($K73-'Growth Rules'!$B$6))*(I73/($K73/6))^'Growth Rules'!$B$7,0))</x:f>
        <x:v>34</x:v>
      </x:c>
      <x:c r="Q73" s="64" t="n">
        <x:f>MAX('Growth Rules'!$B$8,ROUND(('Growth Rules'!$B$4+'Growth Rules'!$B$5*($K73-'Growth Rules'!$B$6))*(J73/($K73/6))^'Growth Rules'!$B$7,0))</x:f>
        <x:v>34</x:v>
      </x:c>
      <x:c r="R73" s="66" t="n">
        <x:f>SUM(L73:Q73)/100</x:f>
        <x:v>2.04</x:v>
      </x:c>
      <x:c r="S73" s="62" t="str">
        <x:v>Serapine; Pandemne</x:v>
      </x:c>
      <x:c r="T73" s="62" t="str">
        <x:v>STORY CHOICE; STORY CHOICE</x:v>
      </x:c>
      <x:c r="U73" s="62" t="str">
        <x:v>32; 32</x:v>
      </x:c>
      <x:c r="V73" s="62" t="str">
        <x:v>Celestial oath kept; Celestial oath broken</x:v>
      </x:c>
      <x:c r="W73" s="62" t="str">
        <x:v>32; 32</x:v>
      </x:c>
      <x:c r="X73" s="62" t="str">
        <x:v>KEEP EXISTING / VALIDATED</x:v>
      </x:c>
      <x:c r="Y73" s="62" t="str">
        <x:v>Regional_Dex_Stats_and_Abilities_COMPLETE_v2.xlsx + Regional_Dex_Progression_Learnsets_v3.xlsx</x:v>
      </x:c>
    </x:row>
    <x:row r="74">
      <x:c r="A74" s="60" t="n">
        <x:v>71</x:v>
      </x:c>
      <x:c r="B74" s="62" t="str">
        <x:v>Serapine</x:v>
      </x:c>
      <x:c r="C74" s="62" t="str">
        <x:v>Fairy</x:v>
      </x:c>
      <x:c r="D74" s="62" t="str">
        <x:v>Dragon</x:v>
      </x:c>
      <x:c r="E74" s="60" t="n">
        <x:v>100</x:v>
      </x:c>
      <x:c r="F74" s="60" t="n">
        <x:v>60</x:v>
      </x:c>
      <x:c r="G74" s="60" t="n">
        <x:v>75</x:v>
      </x:c>
      <x:c r="H74" s="60" t="n">
        <x:v>100</x:v>
      </x:c>
      <x:c r="I74" s="60" t="n">
        <x:v>120</x:v>
      </x:c>
      <x:c r="J74" s="60" t="n">
        <x:v>85</x:v>
      </x:c>
      <x:c r="K74" s="60" t="n">
        <x:v>540</x:v>
      </x:c>
      <x:c r="L74" s="64" t="n">
        <x:f>MAX('Growth Rules'!$B$8,ROUND(('Growth Rules'!$B$4+'Growth Rules'!$B$5*($K74-'Growth Rules'!$B$6))*(E74/($K74/6))^'Growth Rules'!$B$7,0))</x:f>
        <x:v>59</x:v>
      </x:c>
      <x:c r="M74" s="64" t="n">
        <x:f>MAX('Growth Rules'!$B$8,ROUND(('Growth Rules'!$B$4+'Growth Rules'!$B$5*($K74-'Growth Rules'!$B$6))*(F74/($K74/6))^'Growth Rules'!$B$7,0))</x:f>
        <x:v>19</x:v>
      </x:c>
      <x:c r="N74" s="64" t="n">
        <x:f>MAX('Growth Rules'!$B$8,ROUND(('Growth Rules'!$B$4+'Growth Rules'!$B$5*($K74-'Growth Rules'!$B$6))*(G74/($K74/6))^'Growth Rules'!$B$7,0))</x:f>
        <x:v>31</x:v>
      </x:c>
      <x:c r="O74" s="64" t="n">
        <x:f>MAX('Growth Rules'!$B$8,ROUND(('Growth Rules'!$B$4+'Growth Rules'!$B$5*($K74-'Growth Rules'!$B$6))*(H74/($K74/6))^'Growth Rules'!$B$7,0))</x:f>
        <x:v>59</x:v>
      </x:c>
      <x:c r="P74" s="64" t="n">
        <x:f>MAX('Growth Rules'!$B$8,ROUND(('Growth Rules'!$B$4+'Growth Rules'!$B$5*($K74-'Growth Rules'!$B$6))*(I74/($K74/6))^'Growth Rules'!$B$7,0))</x:f>
        <x:v>89</x:v>
      </x:c>
      <x:c r="Q74" s="64" t="n">
        <x:f>MAX('Growth Rules'!$B$8,ROUND(('Growth Rules'!$B$4+'Growth Rules'!$B$5*($K74-'Growth Rules'!$B$6))*(J74/($K74/6))^'Growth Rules'!$B$7,0))</x:f>
        <x:v>41</x:v>
      </x:c>
      <x:c r="R74" s="66" t="n">
        <x:f>SUM(L74:Q74)/100</x:f>
        <x:v>2.98</x:v>
      </x:c>
      <x:c r="S74" s="62" t="str"/>
      <x:c r="T74" s="62" t="str"/>
      <x:c r="U74" s="62" t="str"/>
      <x:c r="V74" s="62" t="str"/>
      <x:c r="W74" s="62" t="str"/>
      <x:c r="X74" s="62" t="str"/>
      <x:c r="Y74" s="62" t="str">
        <x:v>Regional_Dex_Stats_and_Abilities_COMPLETE_v2.xlsx + Regional_Dex_Progression_Learnsets_v3.xlsx</x:v>
      </x:c>
    </x:row>
    <x:row r="75">
      <x:c r="A75" s="60" t="n">
        <x:v>72</x:v>
      </x:c>
      <x:c r="B75" s="62" t="str">
        <x:v>Pandemne</x:v>
      </x:c>
      <x:c r="C75" s="62" t="str">
        <x:v>Dark</x:v>
      </x:c>
      <x:c r="D75" s="62" t="str">
        <x:v>Dragon</x:v>
      </x:c>
      <x:c r="E75" s="60" t="n">
        <x:v>75</x:v>
      </x:c>
      <x:c r="F75" s="60" t="n">
        <x:v>105</x:v>
      </x:c>
      <x:c r="G75" s="60" t="n">
        <x:v>75</x:v>
      </x:c>
      <x:c r="H75" s="60" t="n">
        <x:v>105</x:v>
      </x:c>
      <x:c r="I75" s="60" t="n">
        <x:v>75</x:v>
      </x:c>
      <x:c r="J75" s="60" t="n">
        <x:v>105</x:v>
      </x:c>
      <x:c r="K75" s="60" t="n">
        <x:v>540</x:v>
      </x:c>
      <x:c r="L75" s="64" t="n">
        <x:f>MAX('Growth Rules'!$B$8,ROUND(('Growth Rules'!$B$4+'Growth Rules'!$B$5*($K75-'Growth Rules'!$B$6))*(E75/($K75/6))^'Growth Rules'!$B$7,0))</x:f>
        <x:v>31</x:v>
      </x:c>
      <x:c r="M75" s="64" t="n">
        <x:f>MAX('Growth Rules'!$B$8,ROUND(('Growth Rules'!$B$4+'Growth Rules'!$B$5*($K75-'Growth Rules'!$B$6))*(F75/($K75/6))^'Growth Rules'!$B$7,0))</x:f>
        <x:v>66</x:v>
      </x:c>
      <x:c r="N75" s="64" t="n">
        <x:f>MAX('Growth Rules'!$B$8,ROUND(('Growth Rules'!$B$4+'Growth Rules'!$B$5*($K75-'Growth Rules'!$B$6))*(G75/($K75/6))^'Growth Rules'!$B$7,0))</x:f>
        <x:v>31</x:v>
      </x:c>
      <x:c r="O75" s="64" t="n">
        <x:f>MAX('Growth Rules'!$B$8,ROUND(('Growth Rules'!$B$4+'Growth Rules'!$B$5*($K75-'Growth Rules'!$B$6))*(H75/($K75/6))^'Growth Rules'!$B$7,0))</x:f>
        <x:v>66</x:v>
      </x:c>
      <x:c r="P75" s="64" t="n">
        <x:f>MAX('Growth Rules'!$B$8,ROUND(('Growth Rules'!$B$4+'Growth Rules'!$B$5*($K75-'Growth Rules'!$B$6))*(I75/($K75/6))^'Growth Rules'!$B$7,0))</x:f>
        <x:v>31</x:v>
      </x:c>
      <x:c r="Q75" s="64" t="n">
        <x:f>MAX('Growth Rules'!$B$8,ROUND(('Growth Rules'!$B$4+'Growth Rules'!$B$5*($K75-'Growth Rules'!$B$6))*(J75/($K75/6))^'Growth Rules'!$B$7,0))</x:f>
        <x:v>66</x:v>
      </x:c>
      <x:c r="R75" s="66" t="n">
        <x:f>SUM(L75:Q75)/100</x:f>
        <x:v>2.91</x:v>
      </x:c>
      <x:c r="S75" s="62" t="str"/>
      <x:c r="T75" s="62" t="str"/>
      <x:c r="U75" s="62" t="str"/>
      <x:c r="V75" s="62" t="str"/>
      <x:c r="W75" s="62" t="str"/>
      <x:c r="X75" s="62" t="str"/>
      <x:c r="Y75" s="62" t="str">
        <x:v>Regional_Dex_Stats_and_Abilities_COMPLETE_v2.xlsx + Regional_Dex_Progression_Learnsets_v3.xlsx</x:v>
      </x:c>
    </x:row>
    <x:row r="76">
      <x:c r="A76" s="60" t="n">
        <x:v>73</x:v>
      </x:c>
      <x:c r="B76" s="62" t="str">
        <x:v>Flaggrim</x:v>
      </x:c>
      <x:c r="C76" s="62" t="str">
        <x:v>Fighting</x:v>
      </x:c>
      <x:c r="D76" s="62" t="str"/>
      <x:c r="E76" s="60" t="n">
        <x:v>50</x:v>
      </x:c>
      <x:c r="F76" s="60" t="n">
        <x:v>70</x:v>
      </x:c>
      <x:c r="G76" s="60" t="n">
        <x:v>50</x:v>
      </x:c>
      <x:c r="H76" s="60" t="n">
        <x:v>30</x:v>
      </x:c>
      <x:c r="I76" s="60" t="n">
        <x:v>50</x:v>
      </x:c>
      <x:c r="J76" s="60" t="n">
        <x:v>60</x:v>
      </x:c>
      <x:c r="K76" s="60" t="n">
        <x:v>310</x:v>
      </x:c>
      <x:c r="L76" s="64" t="n">
        <x:f>MAX('Growth Rules'!$B$8,ROUND(('Growth Rules'!$B$4+'Growth Rules'!$B$5*($K76-'Growth Rules'!$B$6))*(E76/($K76/6))^'Growth Rules'!$B$7,0))</x:f>
        <x:v>30</x:v>
      </x:c>
      <x:c r="M76" s="64" t="n">
        <x:f>MAX('Growth Rules'!$B$8,ROUND(('Growth Rules'!$B$4+'Growth Rules'!$B$5*($K76-'Growth Rules'!$B$6))*(F76/($K76/6))^'Growth Rules'!$B$7,0))</x:f>
        <x:v>65</x:v>
      </x:c>
      <x:c r="N76" s="64" t="n">
        <x:f>MAX('Growth Rules'!$B$8,ROUND(('Growth Rules'!$B$4+'Growth Rules'!$B$5*($K76-'Growth Rules'!$B$6))*(G76/($K76/6))^'Growth Rules'!$B$7,0))</x:f>
        <x:v>30</x:v>
      </x:c>
      <x:c r="O76" s="64" t="n">
        <x:f>MAX('Growth Rules'!$B$8,ROUND(('Growth Rules'!$B$4+'Growth Rules'!$B$5*($K76-'Growth Rules'!$B$6))*(H76/($K76/6))^'Growth Rules'!$B$7,0))</x:f>
        <x:v>10</x:v>
      </x:c>
      <x:c r="P76" s="64" t="n">
        <x:f>MAX('Growth Rules'!$B$8,ROUND(('Growth Rules'!$B$4+'Growth Rules'!$B$5*($K76-'Growth Rules'!$B$6))*(I76/($K76/6))^'Growth Rules'!$B$7,0))</x:f>
        <x:v>30</x:v>
      </x:c>
      <x:c r="Q76" s="64" t="n">
        <x:f>MAX('Growth Rules'!$B$8,ROUND(('Growth Rules'!$B$4+'Growth Rules'!$B$5*($K76-'Growth Rules'!$B$6))*(J76/($K76/6))^'Growth Rules'!$B$7,0))</x:f>
        <x:v>46</x:v>
      </x:c>
      <x:c r="R76" s="66" t="n">
        <x:f>SUM(L76:Q76)/100</x:f>
        <x:v>2.11</x:v>
      </x:c>
      <x:c r="S76" s="62" t="str">
        <x:v>Oriflamme; Tattereign</x:v>
      </x:c>
      <x:c r="T76" s="62" t="str">
        <x:v>STORY CHOICE; STORY CHOICE</x:v>
      </x:c>
      <x:c r="U76" s="62" t="str">
        <x:v>30; 30</x:v>
      </x:c>
      <x:c r="V76" s="62" t="str">
        <x:v>Raise banner; Tear banner</x:v>
      </x:c>
      <x:c r="W76" s="62" t="str">
        <x:v>30; 30</x:v>
      </x:c>
      <x:c r="X76" s="62" t="str">
        <x:v>KEEP EXISTING / VALIDATED</x:v>
      </x:c>
      <x:c r="Y76" s="62" t="str">
        <x:v>Regional_Dex_Stats_and_Abilities_COMPLETE_v2.xlsx + Regional_Dex_Progression_Learnsets_v3.xlsx</x:v>
      </x:c>
    </x:row>
    <x:row r="77">
      <x:c r="A77" s="60" t="n">
        <x:v>74</x:v>
      </x:c>
      <x:c r="B77" s="62" t="str">
        <x:v>Oriflamme</x:v>
      </x:c>
      <x:c r="C77" s="62" t="str">
        <x:v>Fighting</x:v>
      </x:c>
      <x:c r="D77" s="62" t="str">
        <x:v>Fairy</x:v>
      </x:c>
      <x:c r="E77" s="60" t="n">
        <x:v>80</x:v>
      </x:c>
      <x:c r="F77" s="60" t="n">
        <x:v>95</x:v>
      </x:c>
      <x:c r="G77" s="60" t="n">
        <x:v>70</x:v>
      </x:c>
      <x:c r="H77" s="60" t="n">
        <x:v>70</x:v>
      </x:c>
      <x:c r="I77" s="60" t="n">
        <x:v>95</x:v>
      </x:c>
      <x:c r="J77" s="60" t="n">
        <x:v>95</x:v>
      </x:c>
      <x:c r="K77" s="60" t="n">
        <x:v>505</x:v>
      </x:c>
      <x:c r="L77" s="64" t="n">
        <x:f>MAX('Growth Rules'!$B$8,ROUND(('Growth Rules'!$B$4+'Growth Rules'!$B$5*($K77-'Growth Rules'!$B$6))*(E77/($K77/6))^'Growth Rules'!$B$7,0))</x:f>
        <x:v>40</x:v>
      </x:c>
      <x:c r="M77" s="64" t="n">
        <x:f>MAX('Growth Rules'!$B$8,ROUND(('Growth Rules'!$B$4+'Growth Rules'!$B$5*($K77-'Growth Rules'!$B$6))*(F77/($K77/6))^'Growth Rules'!$B$7,0))</x:f>
        <x:v>58</x:v>
      </x:c>
      <x:c r="N77" s="64" t="n">
        <x:f>MAX('Growth Rules'!$B$8,ROUND(('Growth Rules'!$B$4+'Growth Rules'!$B$5*($K77-'Growth Rules'!$B$6))*(G77/($K77/6))^'Growth Rules'!$B$7,0))</x:f>
        <x:v>29</x:v>
      </x:c>
      <x:c r="O77" s="64" t="n">
        <x:f>MAX('Growth Rules'!$B$8,ROUND(('Growth Rules'!$B$4+'Growth Rules'!$B$5*($K77-'Growth Rules'!$B$6))*(H77/($K77/6))^'Growth Rules'!$B$7,0))</x:f>
        <x:v>29</x:v>
      </x:c>
      <x:c r="P77" s="64" t="n">
        <x:f>MAX('Growth Rules'!$B$8,ROUND(('Growth Rules'!$B$4+'Growth Rules'!$B$5*($K77-'Growth Rules'!$B$6))*(I77/($K77/6))^'Growth Rules'!$B$7,0))</x:f>
        <x:v>58</x:v>
      </x:c>
      <x:c r="Q77" s="64" t="n">
        <x:f>MAX('Growth Rules'!$B$8,ROUND(('Growth Rules'!$B$4+'Growth Rules'!$B$5*($K77-'Growth Rules'!$B$6))*(J77/($K77/6))^'Growth Rules'!$B$7,0))</x:f>
        <x:v>58</x:v>
      </x:c>
      <x:c r="R77" s="66" t="n">
        <x:f>SUM(L77:Q77)/100</x:f>
        <x:v>2.72</x:v>
      </x:c>
      <x:c r="S77" s="62" t="str"/>
      <x:c r="T77" s="62" t="str"/>
      <x:c r="U77" s="62" t="str"/>
      <x:c r="V77" s="62" t="str"/>
      <x:c r="W77" s="62" t="str"/>
      <x:c r="X77" s="62" t="str"/>
      <x:c r="Y77" s="62" t="str">
        <x:v>Regional_Dex_Stats_and_Abilities_COMPLETE_v2.xlsx + Regional_Dex_Progression_Learnsets_v3.xlsx</x:v>
      </x:c>
    </x:row>
    <x:row r="78">
      <x:c r="A78" s="60" t="n">
        <x:v>75</x:v>
      </x:c>
      <x:c r="B78" s="62" t="str">
        <x:v>Tattereign</x:v>
      </x:c>
      <x:c r="C78" s="62" t="str">
        <x:v>Dark</x:v>
      </x:c>
      <x:c r="D78" s="62" t="str">
        <x:v>Flying</x:v>
      </x:c>
      <x:c r="E78" s="60" t="n">
        <x:v>75</x:v>
      </x:c>
      <x:c r="F78" s="60" t="n">
        <x:v>100</x:v>
      </x:c>
      <x:c r="G78" s="60" t="n">
        <x:v>60</x:v>
      </x:c>
      <x:c r="H78" s="60" t="n">
        <x:v>70</x:v>
      </x:c>
      <x:c r="I78" s="60" t="n">
        <x:v>75</x:v>
      </x:c>
      <x:c r="J78" s="60" t="n">
        <x:v>125</x:v>
      </x:c>
      <x:c r="K78" s="60" t="n">
        <x:v>505</x:v>
      </x:c>
      <x:c r="L78" s="64" t="n">
        <x:f>MAX('Growth Rules'!$B$8,ROUND(('Growth Rules'!$B$4+'Growth Rules'!$B$5*($K78-'Growth Rules'!$B$6))*(E78/($K78/6))^'Growth Rules'!$B$7,0))</x:f>
        <x:v>34</x:v>
      </x:c>
      <x:c r="M78" s="64" t="n">
        <x:f>MAX('Growth Rules'!$B$8,ROUND(('Growth Rules'!$B$4+'Growth Rules'!$B$5*($K78-'Growth Rules'!$B$6))*(F78/($K78/6))^'Growth Rules'!$B$7,0))</x:f>
        <x:v>65</x:v>
      </x:c>
      <x:c r="N78" s="64" t="n">
        <x:f>MAX('Growth Rules'!$B$8,ROUND(('Growth Rules'!$B$4+'Growth Rules'!$B$5*($K78-'Growth Rules'!$B$6))*(G78/($K78/6))^'Growth Rules'!$B$7,0))</x:f>
        <x:v>21</x:v>
      </x:c>
      <x:c r="O78" s="64" t="n">
        <x:f>MAX('Growth Rules'!$B$8,ROUND(('Growth Rules'!$B$4+'Growth Rules'!$B$5*($K78-'Growth Rules'!$B$6))*(H78/($K78/6))^'Growth Rules'!$B$7,0))</x:f>
        <x:v>29</x:v>
      </x:c>
      <x:c r="P78" s="64" t="n">
        <x:f>MAX('Growth Rules'!$B$8,ROUND(('Growth Rules'!$B$4+'Growth Rules'!$B$5*($K78-'Growth Rules'!$B$6))*(I78/($K78/6))^'Growth Rules'!$B$7,0))</x:f>
        <x:v>34</x:v>
      </x:c>
      <x:c r="Q78" s="64" t="n">
        <x:f>MAX('Growth Rules'!$B$8,ROUND(('Growth Rules'!$B$4+'Growth Rules'!$B$5*($K78-'Growth Rules'!$B$6))*(J78/($K78/6))^'Growth Rules'!$B$7,0))</x:f>
        <x:v>108</x:v>
      </x:c>
      <x:c r="R78" s="66" t="n">
        <x:f>SUM(L78:Q78)/100</x:f>
        <x:v>2.91</x:v>
      </x:c>
      <x:c r="S78" s="62" t="str"/>
      <x:c r="T78" s="62" t="str"/>
      <x:c r="U78" s="62" t="str"/>
      <x:c r="V78" s="62" t="str"/>
      <x:c r="W78" s="62" t="str"/>
      <x:c r="X78" s="62" t="str"/>
      <x:c r="Y78" s="62" t="str">
        <x:v>Regional_Dex_Stats_and_Abilities_COMPLETE_v2.xlsx + Regional_Dex_Progression_Learnsets_v3.xlsx</x:v>
      </x:c>
    </x:row>
    <x:row r="79">
      <x:c r="A79" s="60" t="n">
        <x:v>76</x:v>
      </x:c>
      <x:c r="B79" s="62" t="str">
        <x:v>Grailhare</x:v>
      </x:c>
      <x:c r="C79" s="62" t="str">
        <x:v>Normal</x:v>
      </x:c>
      <x:c r="D79" s="62" t="str">
        <x:v>Psychic</x:v>
      </x:c>
      <x:c r="E79" s="60" t="n">
        <x:v>70</x:v>
      </x:c>
      <x:c r="F79" s="60" t="n">
        <x:v>70</x:v>
      </x:c>
      <x:c r="G79" s="60" t="n">
        <x:v>55</x:v>
      </x:c>
      <x:c r="H79" s="60" t="n">
        <x:v>95</x:v>
      </x:c>
      <x:c r="I79" s="60" t="n">
        <x:v>95</x:v>
      </x:c>
      <x:c r="J79" s="60" t="n">
        <x:v>115</x:v>
      </x:c>
      <x:c r="K79" s="60" t="n">
        <x:v>500</x:v>
      </x:c>
      <x:c r="L79" s="64" t="n">
        <x:f>MAX('Growth Rules'!$B$8,ROUND(('Growth Rules'!$B$4+'Growth Rules'!$B$5*($K79-'Growth Rules'!$B$6))*(E79/($K79/6))^'Growth Rules'!$B$7,0))</x:f>
        <x:v>30</x:v>
      </x:c>
      <x:c r="M79" s="64" t="n">
        <x:f>MAX('Growth Rules'!$B$8,ROUND(('Growth Rules'!$B$4+'Growth Rules'!$B$5*($K79-'Growth Rules'!$B$6))*(F79/($K79/6))^'Growth Rules'!$B$7,0))</x:f>
        <x:v>30</x:v>
      </x:c>
      <x:c r="N79" s="64" t="n">
        <x:f>MAX('Growth Rules'!$B$8,ROUND(('Growth Rules'!$B$4+'Growth Rules'!$B$5*($K79-'Growth Rules'!$B$6))*(G79/($K79/6))^'Growth Rules'!$B$7,0))</x:f>
        <x:v>17</x:v>
      </x:c>
      <x:c r="O79" s="64" t="n">
        <x:f>MAX('Growth Rules'!$B$8,ROUND(('Growth Rules'!$B$4+'Growth Rules'!$B$5*($K79-'Growth Rules'!$B$6))*(H79/($K79/6))^'Growth Rules'!$B$7,0))</x:f>
        <x:v>59</x:v>
      </x:c>
      <x:c r="P79" s="64" t="n">
        <x:f>MAX('Growth Rules'!$B$8,ROUND(('Growth Rules'!$B$4+'Growth Rules'!$B$5*($K79-'Growth Rules'!$B$6))*(I79/($K79/6))^'Growth Rules'!$B$7,0))</x:f>
        <x:v>59</x:v>
      </x:c>
      <x:c r="Q79" s="64" t="n">
        <x:f>MAX('Growth Rules'!$B$8,ROUND(('Growth Rules'!$B$4+'Growth Rules'!$B$5*($K79-'Growth Rules'!$B$6))*(J79/($K79/6))^'Growth Rules'!$B$7,0))</x:f>
        <x:v>91</x:v>
      </x:c>
      <x:c r="R79" s="66" t="n">
        <x:f>SUM(L79:Q79)/100</x:f>
        <x:v>2.86</x:v>
      </x:c>
      <x:c r="S79" s="62" t="str"/>
      <x:c r="T79" s="62" t="str"/>
      <x:c r="U79" s="62" t="str"/>
      <x:c r="V79" s="62" t="str"/>
      <x:c r="W79" s="62" t="str"/>
      <x:c r="X79" s="62" t="str"/>
      <x:c r="Y79" s="62" t="str">
        <x:v>Regional_Dex_Stats_and_Abilities_COMPLETE_v2.xlsx + Regional_Dex_Progression_Learnsets_v3.xlsx</x:v>
      </x:c>
    </x:row>
    <x:row r="80">
      <x:c r="A80" s="60" t="n">
        <x:v>77</x:v>
      </x:c>
      <x:c r="B80" s="62" t="str">
        <x:v>Saltinel</x:v>
      </x:c>
      <x:c r="C80" s="62" t="str">
        <x:v>Rock</x:v>
      </x:c>
      <x:c r="D80" s="62" t="str"/>
      <x:c r="E80" s="60" t="n">
        <x:v>60</x:v>
      </x:c>
      <x:c r="F80" s="60" t="n">
        <x:v>50</x:v>
      </x:c>
      <x:c r="G80" s="60" t="n">
        <x:v>70</x:v>
      </x:c>
      <x:c r="H80" s="60" t="n">
        <x:v>30</x:v>
      </x:c>
      <x:c r="I80" s="60" t="n">
        <x:v>60</x:v>
      </x:c>
      <x:c r="J80" s="60" t="n">
        <x:v>35</x:v>
      </x:c>
      <x:c r="K80" s="60" t="n">
        <x:v>305</x:v>
      </x:c>
      <x:c r="L80" s="64" t="n">
        <x:f>MAX('Growth Rules'!$B$8,ROUND(('Growth Rules'!$B$4+'Growth Rules'!$B$5*($K80-'Growth Rules'!$B$6))*(E80/($K80/6))^'Growth Rules'!$B$7,0))</x:f>
        <x:v>47</x:v>
      </x:c>
      <x:c r="M80" s="64" t="n">
        <x:f>MAX('Growth Rules'!$B$8,ROUND(('Growth Rules'!$B$4+'Growth Rules'!$B$5*($K80-'Growth Rules'!$B$6))*(F80/($K80/6))^'Growth Rules'!$B$7,0))</x:f>
        <x:v>31</x:v>
      </x:c>
      <x:c r="N80" s="64" t="n">
        <x:f>MAX('Growth Rules'!$B$8,ROUND(('Growth Rules'!$B$4+'Growth Rules'!$B$5*($K80-'Growth Rules'!$B$6))*(G80/($K80/6))^'Growth Rules'!$B$7,0))</x:f>
        <x:v>66</x:v>
      </x:c>
      <x:c r="O80" s="64" t="n">
        <x:f>MAX('Growth Rules'!$B$8,ROUND(('Growth Rules'!$B$4+'Growth Rules'!$B$5*($K80-'Growth Rules'!$B$6))*(H80/($K80/6))^'Growth Rules'!$B$7,0))</x:f>
        <x:v>10</x:v>
      </x:c>
      <x:c r="P80" s="64" t="n">
        <x:f>MAX('Growth Rules'!$B$8,ROUND(('Growth Rules'!$B$4+'Growth Rules'!$B$5*($K80-'Growth Rules'!$B$6))*(I80/($K80/6))^'Growth Rules'!$B$7,0))</x:f>
        <x:v>47</x:v>
      </x:c>
      <x:c r="Q80" s="64" t="n">
        <x:f>MAX('Growth Rules'!$B$8,ROUND(('Growth Rules'!$B$4+'Growth Rules'!$B$5*($K80-'Growth Rules'!$B$6))*(J80/($K80/6))^'Growth Rules'!$B$7,0))</x:f>
        <x:v>14</x:v>
      </x:c>
      <x:c r="R80" s="66" t="n">
        <x:f>SUM(L80:Q80)/100</x:f>
        <x:v>2.15</x:v>
      </x:c>
      <x:c r="S80" s="62" t="str">
        <x:v>Bethlisk</x:v>
      </x:c>
      <x:c r="T80" s="62" t="str">
        <x:v>LEVEL</x:v>
      </x:c>
      <x:c r="U80" s="62" t="str">
        <x:v>26</x:v>
      </x:c>
      <x:c r="V80" s="62" t="str"/>
      <x:c r="W80" s="62" t="str">
        <x:v>26</x:v>
      </x:c>
      <x:c r="X80" s="62" t="str">
        <x:v>KEEP EXISTING / VALIDATED</x:v>
      </x:c>
      <x:c r="Y80" s="62" t="str">
        <x:v>Regional_Dex_Stats_and_Abilities_COMPLETE_v2.xlsx + Regional_Dex_Progression_Learnsets_v3.xlsx</x:v>
      </x:c>
    </x:row>
    <x:row r="81">
      <x:c r="A81" s="60" t="n">
        <x:v>78</x:v>
      </x:c>
      <x:c r="B81" s="62" t="str">
        <x:v>Bethlisk</x:v>
      </x:c>
      <x:c r="C81" s="62" t="str">
        <x:v>Rock</x:v>
      </x:c>
      <x:c r="D81" s="62" t="str">
        <x:v>Water</x:v>
      </x:c>
      <x:c r="E81" s="60" t="n">
        <x:v>95</x:v>
      </x:c>
      <x:c r="F81" s="60" t="n">
        <x:v>95</x:v>
      </x:c>
      <x:c r="G81" s="60" t="n">
        <x:v>95</x:v>
      </x:c>
      <x:c r="H81" s="60" t="n">
        <x:v>70</x:v>
      </x:c>
      <x:c r="I81" s="60" t="n">
        <x:v>100</x:v>
      </x:c>
      <x:c r="J81" s="60" t="n">
        <x:v>45</x:v>
      </x:c>
      <x:c r="K81" s="60" t="n">
        <x:v>500</x:v>
      </x:c>
      <x:c r="L81" s="64" t="n">
        <x:f>MAX('Growth Rules'!$B$8,ROUND(('Growth Rules'!$B$4+'Growth Rules'!$B$5*($K81-'Growth Rules'!$B$6))*(E81/($K81/6))^'Growth Rules'!$B$7,0))</x:f>
        <x:v>59</x:v>
      </x:c>
      <x:c r="M81" s="64" t="n">
        <x:f>MAX('Growth Rules'!$B$8,ROUND(('Growth Rules'!$B$4+'Growth Rules'!$B$5*($K81-'Growth Rules'!$B$6))*(F81/($K81/6))^'Growth Rules'!$B$7,0))</x:f>
        <x:v>59</x:v>
      </x:c>
      <x:c r="N81" s="64" t="n">
        <x:f>MAX('Growth Rules'!$B$8,ROUND(('Growth Rules'!$B$4+'Growth Rules'!$B$5*($K81-'Growth Rules'!$B$6))*(G81/($K81/6))^'Growth Rules'!$B$7,0))</x:f>
        <x:v>59</x:v>
      </x:c>
      <x:c r="O81" s="64" t="n">
        <x:f>MAX('Growth Rules'!$B$8,ROUND(('Growth Rules'!$B$4+'Growth Rules'!$B$5*($K81-'Growth Rules'!$B$6))*(H81/($K81/6))^'Growth Rules'!$B$7,0))</x:f>
        <x:v>30</x:v>
      </x:c>
      <x:c r="P81" s="64" t="n">
        <x:f>MAX('Growth Rules'!$B$8,ROUND(('Growth Rules'!$B$4+'Growth Rules'!$B$5*($K81-'Growth Rules'!$B$6))*(I81/($K81/6))^'Growth Rules'!$B$7,0))</x:f>
        <x:v>66</x:v>
      </x:c>
      <x:c r="Q81" s="64" t="n">
        <x:f>MAX('Growth Rules'!$B$8,ROUND(('Growth Rules'!$B$4+'Growth Rules'!$B$5*($K81-'Growth Rules'!$B$6))*(J81/($K81/6))^'Growth Rules'!$B$7,0))</x:f>
        <x:v>11</x:v>
      </x:c>
      <x:c r="R81" s="66" t="n">
        <x:f>SUM(L81:Q81)/100</x:f>
        <x:v>2.84</x:v>
      </x:c>
      <x:c r="S81" s="62" t="str"/>
      <x:c r="T81" s="62" t="str"/>
      <x:c r="U81" s="62" t="str"/>
      <x:c r="V81" s="62" t="str"/>
      <x:c r="W81" s="62" t="str"/>
      <x:c r="X81" s="62" t="str"/>
      <x:c r="Y81" s="62" t="str">
        <x:v>Regional_Dex_Stats_and_Abilities_COMPLETE_v2.xlsx + Regional_Dex_Progression_Learnsets_v3.xlsx</x:v>
      </x:c>
    </x:row>
    <x:row r="82">
      <x:c r="A82" s="60" t="n">
        <x:v>79</x:v>
      </x:c>
      <x:c r="B82" s="62" t="str">
        <x:v>Foamwhelp</x:v>
      </x:c>
      <x:c r="C82" s="62" t="str">
        <x:v>Water</x:v>
      </x:c>
      <x:c r="D82" s="62" t="str"/>
      <x:c r="E82" s="60" t="n">
        <x:v>60</x:v>
      </x:c>
      <x:c r="F82" s="60" t="n">
        <x:v>70</x:v>
      </x:c>
      <x:c r="G82" s="60" t="n">
        <x:v>50</x:v>
      </x:c>
      <x:c r="H82" s="60" t="n">
        <x:v>30</x:v>
      </x:c>
      <x:c r="I82" s="60" t="n">
        <x:v>50</x:v>
      </x:c>
      <x:c r="J82" s="60" t="n">
        <x:v>50</x:v>
      </x:c>
      <x:c r="K82" s="60" t="n">
        <x:v>310</x:v>
      </x:c>
      <x:c r="L82" s="64" t="n">
        <x:f>MAX('Growth Rules'!$B$8,ROUND(('Growth Rules'!$B$4+'Growth Rules'!$B$5*($K82-'Growth Rules'!$B$6))*(E82/($K82/6))^'Growth Rules'!$B$7,0))</x:f>
        <x:v>46</x:v>
      </x:c>
      <x:c r="M82" s="64" t="n">
        <x:f>MAX('Growth Rules'!$B$8,ROUND(('Growth Rules'!$B$4+'Growth Rules'!$B$5*($K82-'Growth Rules'!$B$6))*(F82/($K82/6))^'Growth Rules'!$B$7,0))</x:f>
        <x:v>65</x:v>
      </x:c>
      <x:c r="N82" s="64" t="n">
        <x:f>MAX('Growth Rules'!$B$8,ROUND(('Growth Rules'!$B$4+'Growth Rules'!$B$5*($K82-'Growth Rules'!$B$6))*(G82/($K82/6))^'Growth Rules'!$B$7,0))</x:f>
        <x:v>30</x:v>
      </x:c>
      <x:c r="O82" s="64" t="n">
        <x:f>MAX('Growth Rules'!$B$8,ROUND(('Growth Rules'!$B$4+'Growth Rules'!$B$5*($K82-'Growth Rules'!$B$6))*(H82/($K82/6))^'Growth Rules'!$B$7,0))</x:f>
        <x:v>10</x:v>
      </x:c>
      <x:c r="P82" s="64" t="n">
        <x:f>MAX('Growth Rules'!$B$8,ROUND(('Growth Rules'!$B$4+'Growth Rules'!$B$5*($K82-'Growth Rules'!$B$6))*(I82/($K82/6))^'Growth Rules'!$B$7,0))</x:f>
        <x:v>30</x:v>
      </x:c>
      <x:c r="Q82" s="64" t="n">
        <x:f>MAX('Growth Rules'!$B$8,ROUND(('Growth Rules'!$B$4+'Growth Rules'!$B$5*($K82-'Growth Rules'!$B$6))*(J82/($K82/6))^'Growth Rules'!$B$7,0))</x:f>
        <x:v>30</x:v>
      </x:c>
      <x:c r="R82" s="66" t="n">
        <x:f>SUM(L82:Q82)/100</x:f>
        <x:v>2.11</x:v>
      </x:c>
      <x:c r="S82" s="62" t="str">
        <x:v>Liontide</x:v>
      </x:c>
      <x:c r="T82" s="62" t="str">
        <x:v>LEVEL</x:v>
      </x:c>
      <x:c r="U82" s="62" t="str">
        <x:v>30</x:v>
      </x:c>
      <x:c r="V82" s="62" t="str"/>
      <x:c r="W82" s="62" t="str">
        <x:v>30</x:v>
      </x:c>
      <x:c r="X82" s="62" t="str">
        <x:v>KEEP EXISTING / VALIDATED</x:v>
      </x:c>
      <x:c r="Y82" s="62" t="str">
        <x:v>Regional_Dex_Stats_and_Abilities_COMPLETE_v2.xlsx + Regional_Dex_Progression_Learnsets_v3.xlsx</x:v>
      </x:c>
    </x:row>
    <x:row r="83">
      <x:c r="A83" s="60" t="n">
        <x:v>80</x:v>
      </x:c>
      <x:c r="B83" s="62" t="str">
        <x:v>Liontide</x:v>
      </x:c>
      <x:c r="C83" s="62" t="str">
        <x:v>Water</x:v>
      </x:c>
      <x:c r="D83" s="62" t="str">
        <x:v>Fighting</x:v>
      </x:c>
      <x:c r="E83" s="60" t="n">
        <x:v>100</x:v>
      </x:c>
      <x:c r="F83" s="60" t="n">
        <x:v>120</x:v>
      </x:c>
      <x:c r="G83" s="60" t="n">
        <x:v>100</x:v>
      </x:c>
      <x:c r="H83" s="60" t="n">
        <x:v>45</x:v>
      </x:c>
      <x:c r="I83" s="60" t="n">
        <x:v>85</x:v>
      </x:c>
      <x:c r="J83" s="60" t="n">
        <x:v>75</x:v>
      </x:c>
      <x:c r="K83" s="60" t="n">
        <x:v>525</x:v>
      </x:c>
      <x:c r="L83" s="64" t="n">
        <x:f>MAX('Growth Rules'!$B$8,ROUND(('Growth Rules'!$B$4+'Growth Rules'!$B$5*($K83-'Growth Rules'!$B$6))*(E83/($K83/6))^'Growth Rules'!$B$7,0))</x:f>
        <x:v>61</x:v>
      </x:c>
      <x:c r="M83" s="64" t="n">
        <x:f>MAX('Growth Rules'!$B$8,ROUND(('Growth Rules'!$B$4+'Growth Rules'!$B$5*($K83-'Growth Rules'!$B$6))*(F83/($K83/6))^'Growth Rules'!$B$7,0))</x:f>
        <x:v>93</x:v>
      </x:c>
      <x:c r="N83" s="64" t="n">
        <x:f>MAX('Growth Rules'!$B$8,ROUND(('Growth Rules'!$B$4+'Growth Rules'!$B$5*($K83-'Growth Rules'!$B$6))*(G83/($K83/6))^'Growth Rules'!$B$7,0))</x:f>
        <x:v>61</x:v>
      </x:c>
      <x:c r="O83" s="64" t="n">
        <x:f>MAX('Growth Rules'!$B$8,ROUND(('Growth Rules'!$B$4+'Growth Rules'!$B$5*($K83-'Growth Rules'!$B$6))*(H83/($K83/6))^'Growth Rules'!$B$7,0))</x:f>
        <x:v>10</x:v>
      </x:c>
      <x:c r="P83" s="64" t="n">
        <x:f>MAX('Growth Rules'!$B$8,ROUND(('Growth Rules'!$B$4+'Growth Rules'!$B$5*($K83-'Growth Rules'!$B$6))*(I83/($K83/6))^'Growth Rules'!$B$7,0))</x:f>
        <x:v>43</x:v>
      </x:c>
      <x:c r="Q83" s="64" t="n">
        <x:f>MAX('Growth Rules'!$B$8,ROUND(('Growth Rules'!$B$4+'Growth Rules'!$B$5*($K83-'Growth Rules'!$B$6))*(J83/($K83/6))^'Growth Rules'!$B$7,0))</x:f>
        <x:v>32</x:v>
      </x:c>
      <x:c r="R83" s="66" t="n">
        <x:f>SUM(L83:Q83)/100</x:f>
        <x:v>3</x:v>
      </x:c>
      <x:c r="S83" s="62" t="str"/>
      <x:c r="T83" s="62" t="str"/>
      <x:c r="U83" s="62" t="str"/>
      <x:c r="V83" s="62" t="str"/>
      <x:c r="W83" s="62" t="str"/>
      <x:c r="X83" s="62" t="str"/>
      <x:c r="Y83" s="62" t="str">
        <x:v>Regional_Dex_Stats_and_Abilities_COMPLETE_v2.xlsx + Regional_Dex_Progression_Learnsets_v3.xlsx</x:v>
      </x:c>
    </x:row>
    <x:row r="84">
      <x:c r="A84" s="60" t="n">
        <x:v>81</x:v>
      </x:c>
      <x:c r="B84" s="62" t="str">
        <x:v>Dunetuft</x:v>
      </x:c>
      <x:c r="C84" s="62" t="str">
        <x:v>Ground</x:v>
      </x:c>
      <x:c r="D84" s="62" t="str"/>
      <x:c r="E84" s="60" t="n">
        <x:v>40</x:v>
      </x:c>
      <x:c r="F84" s="60" t="n">
        <x:v>50</x:v>
      </x:c>
      <x:c r="G84" s="60" t="n">
        <x:v>40</x:v>
      </x:c>
      <x:c r="H84" s="60" t="n">
        <x:v>50</x:v>
      </x:c>
      <x:c r="I84" s="60" t="n">
        <x:v>60</x:v>
      </x:c>
      <x:c r="J84" s="60" t="n">
        <x:v>65</x:v>
      </x:c>
      <x:c r="K84" s="60" t="n">
        <x:v>305</x:v>
      </x:c>
      <x:c r="L84" s="64" t="n">
        <x:f>MAX('Growth Rules'!$B$8,ROUND(('Growth Rules'!$B$4+'Growth Rules'!$B$5*($K84-'Growth Rules'!$B$6))*(E84/($K84/6))^'Growth Rules'!$B$7,0))</x:f>
        <x:v>19</x:v>
      </x:c>
      <x:c r="M84" s="64" t="n">
        <x:f>MAX('Growth Rules'!$B$8,ROUND(('Growth Rules'!$B$4+'Growth Rules'!$B$5*($K84-'Growth Rules'!$B$6))*(F84/($K84/6))^'Growth Rules'!$B$7,0))</x:f>
        <x:v>31</x:v>
      </x:c>
      <x:c r="N84" s="64" t="n">
        <x:f>MAX('Growth Rules'!$B$8,ROUND(('Growth Rules'!$B$4+'Growth Rules'!$B$5*($K84-'Growth Rules'!$B$6))*(G84/($K84/6))^'Growth Rules'!$B$7,0))</x:f>
        <x:v>19</x:v>
      </x:c>
      <x:c r="O84" s="64" t="n">
        <x:f>MAX('Growth Rules'!$B$8,ROUND(('Growth Rules'!$B$4+'Growth Rules'!$B$5*($K84-'Growth Rules'!$B$6))*(H84/($K84/6))^'Growth Rules'!$B$7,0))</x:f>
        <x:v>31</x:v>
      </x:c>
      <x:c r="P84" s="64" t="n">
        <x:f>MAX('Growth Rules'!$B$8,ROUND(('Growth Rules'!$B$4+'Growth Rules'!$B$5*($K84-'Growth Rules'!$B$6))*(I84/($K84/6))^'Growth Rules'!$B$7,0))</x:f>
        <x:v>47</x:v>
      </x:c>
      <x:c r="Q84" s="64" t="n">
        <x:f>MAX('Growth Rules'!$B$8,ROUND(('Growth Rules'!$B$4+'Growth Rules'!$B$5*($K84-'Growth Rules'!$B$6))*(J84/($K84/6))^'Growth Rules'!$B$7,0))</x:f>
        <x:v>56</x:v>
      </x:c>
      <x:c r="R84" s="66" t="n">
        <x:f>SUM(L84:Q84)/100</x:f>
        <x:v>2.03</x:v>
      </x:c>
      <x:c r="S84" s="62" t="str">
        <x:v>Accordacal</x:v>
      </x:c>
      <x:c r="T84" s="62" t="str">
        <x:v>LEVEL</x:v>
      </x:c>
      <x:c r="U84" s="62" t="str">
        <x:v>26</x:v>
      </x:c>
      <x:c r="V84" s="62" t="str"/>
      <x:c r="W84" s="62" t="str">
        <x:v>26</x:v>
      </x:c>
      <x:c r="X84" s="62" t="str">
        <x:v>KEEP EXISTING / VALIDATED</x:v>
      </x:c>
      <x:c r="Y84" s="62" t="str">
        <x:v>Regional_Dex_Stats_and_Abilities_COMPLETE_v2.xlsx + Regional_Dex_Progression_Learnsets_v3.xlsx</x:v>
      </x:c>
    </x:row>
    <x:row r="85">
      <x:c r="A85" s="60" t="n">
        <x:v>82</x:v>
      </x:c>
      <x:c r="B85" s="62" t="str">
        <x:v>Accordacal</x:v>
      </x:c>
      <x:c r="C85" s="62" t="str">
        <x:v>Ground</x:v>
      </x:c>
      <x:c r="D85" s="62" t="str">
        <x:v>Psychic</x:v>
      </x:c>
      <x:c r="E85" s="60" t="n">
        <x:v>80</x:v>
      </x:c>
      <x:c r="F85" s="60" t="n">
        <x:v>85</x:v>
      </x:c>
      <x:c r="G85" s="60" t="n">
        <x:v>70</x:v>
      </x:c>
      <x:c r="H85" s="60" t="n">
        <x:v>95</x:v>
      </x:c>
      <x:c r="I85" s="60" t="n">
        <x:v>95</x:v>
      </x:c>
      <x:c r="J85" s="60" t="n">
        <x:v>95</x:v>
      </x:c>
      <x:c r="K85" s="60" t="n">
        <x:v>520</x:v>
      </x:c>
      <x:c r="L85" s="64" t="n">
        <x:f>MAX('Growth Rules'!$B$8,ROUND(('Growth Rules'!$B$4+'Growth Rules'!$B$5*($K85-'Growth Rules'!$B$6))*(E85/($K85/6))^'Growth Rules'!$B$7,0))</x:f>
        <x:v>38</x:v>
      </x:c>
      <x:c r="M85" s="64" t="n">
        <x:f>MAX('Growth Rules'!$B$8,ROUND(('Growth Rules'!$B$4+'Growth Rules'!$B$5*($K85-'Growth Rules'!$B$6))*(F85/($K85/6))^'Growth Rules'!$B$7,0))</x:f>
        <x:v>43</x:v>
      </x:c>
      <x:c r="N85" s="64" t="n">
        <x:f>MAX('Growth Rules'!$B$8,ROUND(('Growth Rules'!$B$4+'Growth Rules'!$B$5*($K85-'Growth Rules'!$B$6))*(G85/($K85/6))^'Growth Rules'!$B$7,0))</x:f>
        <x:v>28</x:v>
      </x:c>
      <x:c r="O85" s="64" t="n">
        <x:f>MAX('Growth Rules'!$B$8,ROUND(('Growth Rules'!$B$4+'Growth Rules'!$B$5*($K85-'Growth Rules'!$B$6))*(H85/($K85/6))^'Growth Rules'!$B$7,0))</x:f>
        <x:v>56</x:v>
      </x:c>
      <x:c r="P85" s="64" t="n">
        <x:f>MAX('Growth Rules'!$B$8,ROUND(('Growth Rules'!$B$4+'Growth Rules'!$B$5*($K85-'Growth Rules'!$B$6))*(I85/($K85/6))^'Growth Rules'!$B$7,0))</x:f>
        <x:v>56</x:v>
      </x:c>
      <x:c r="Q85" s="64" t="n">
        <x:f>MAX('Growth Rules'!$B$8,ROUND(('Growth Rules'!$B$4+'Growth Rules'!$B$5*($K85-'Growth Rules'!$B$6))*(J85/($K85/6))^'Growth Rules'!$B$7,0))</x:f>
        <x:v>56</x:v>
      </x:c>
      <x:c r="R85" s="66" t="n">
        <x:f>SUM(L85:Q85)/100</x:f>
        <x:v>2.77</x:v>
      </x:c>
      <x:c r="S85" s="62" t="str"/>
      <x:c r="T85" s="62" t="str"/>
      <x:c r="U85" s="62" t="str"/>
      <x:c r="V85" s="62" t="str"/>
      <x:c r="W85" s="62" t="str"/>
      <x:c r="X85" s="62" t="str"/>
      <x:c r="Y85" s="62" t="str">
        <x:v>Regional_Dex_Stats_and_Abilities_COMPLETE_v2.xlsx + Regional_Dex_Progression_Learnsets_v3.xlsx</x:v>
      </x:c>
    </x:row>
    <x:row r="86">
      <x:c r="A86" s="60" t="n">
        <x:v>83</x:v>
      </x:c>
      <x:c r="B86" s="62" t="str">
        <x:v>Rufram</x:v>
      </x:c>
      <x:c r="C86" s="62" t="str">
        <x:v>Fire</x:v>
      </x:c>
      <x:c r="D86" s="62" t="str"/>
      <x:c r="E86" s="60" t="n">
        <x:v>60</x:v>
      </x:c>
      <x:c r="F86" s="60" t="n">
        <x:v>65</x:v>
      </x:c>
      <x:c r="G86" s="60" t="n">
        <x:v>60</x:v>
      </x:c>
      <x:c r="H86" s="60" t="n">
        <x:v>40</x:v>
      </x:c>
      <x:c r="I86" s="60" t="n">
        <x:v>50</x:v>
      </x:c>
      <x:c r="J86" s="60" t="n">
        <x:v>40</x:v>
      </x:c>
      <x:c r="K86" s="60" t="n">
        <x:v>315</x:v>
      </x:c>
      <x:c r="L86" s="64" t="n">
        <x:f>MAX('Growth Rules'!$B$8,ROUND(('Growth Rules'!$B$4+'Growth Rules'!$B$5*($K86-'Growth Rules'!$B$6))*(E86/($K86/6))^'Growth Rules'!$B$7,0))</x:f>
        <x:v>44</x:v>
      </x:c>
      <x:c r="M86" s="64" t="n">
        <x:f>MAX('Growth Rules'!$B$8,ROUND(('Growth Rules'!$B$4+'Growth Rules'!$B$5*($K86-'Growth Rules'!$B$6))*(F86/($K86/6))^'Growth Rules'!$B$7,0))</x:f>
        <x:v>53</x:v>
      </x:c>
      <x:c r="N86" s="64" t="n">
        <x:f>MAX('Growth Rules'!$B$8,ROUND(('Growth Rules'!$B$4+'Growth Rules'!$B$5*($K86-'Growth Rules'!$B$6))*(G86/($K86/6))^'Growth Rules'!$B$7,0))</x:f>
        <x:v>44</x:v>
      </x:c>
      <x:c r="O86" s="64" t="n">
        <x:f>MAX('Growth Rules'!$B$8,ROUND(('Growth Rules'!$B$4+'Growth Rules'!$B$5*($K86-'Growth Rules'!$B$6))*(H86/($K86/6))^'Growth Rules'!$B$7,0))</x:f>
        <x:v>18</x:v>
      </x:c>
      <x:c r="P86" s="64" t="n">
        <x:f>MAX('Growth Rules'!$B$8,ROUND(('Growth Rules'!$B$4+'Growth Rules'!$B$5*($K86-'Growth Rules'!$B$6))*(I86/($K86/6))^'Growth Rules'!$B$7,0))</x:f>
        <x:v>29</x:v>
      </x:c>
      <x:c r="Q86" s="64" t="n">
        <x:f>MAX('Growth Rules'!$B$8,ROUND(('Growth Rules'!$B$4+'Growth Rules'!$B$5*($K86-'Growth Rules'!$B$6))*(J86/($K86/6))^'Growth Rules'!$B$7,0))</x:f>
        <x:v>18</x:v>
      </x:c>
      <x:c r="R86" s="66" t="n">
        <x:f>SUM(L86:Q86)/100</x:f>
        <x:v>2.06</x:v>
      </x:c>
      <x:c r="S86" s="62" t="str">
        <x:v>Fordossa</x:v>
      </x:c>
      <x:c r="T86" s="62" t="str">
        <x:v>LEVEL</x:v>
      </x:c>
      <x:c r="U86" s="62" t="str">
        <x:v>26</x:v>
      </x:c>
      <x:c r="V86" s="62" t="str"/>
      <x:c r="W86" s="62" t="str">
        <x:v>26</x:v>
      </x:c>
      <x:c r="X86" s="62" t="str">
        <x:v>KEEP EXISTING / VALIDATED</x:v>
      </x:c>
      <x:c r="Y86" s="62" t="str">
        <x:v>Regional_Dex_Stats_and_Abilities_COMPLETE_v2.xlsx + Regional_Dex_Progression_Learnsets_v3.xlsx</x:v>
      </x:c>
    </x:row>
    <x:row r="87">
      <x:c r="A87" s="60" t="n">
        <x:v>84</x:v>
      </x:c>
      <x:c r="B87" s="62" t="str">
        <x:v>Fordossa</x:v>
      </x:c>
      <x:c r="C87" s="62" t="str">
        <x:v>Fire</x:v>
      </x:c>
      <x:c r="D87" s="62" t="str">
        <x:v>Ghost</x:v>
      </x:c>
      <x:c r="E87" s="60" t="n">
        <x:v>95</x:v>
      </x:c>
      <x:c r="F87" s="60" t="n">
        <x:v>95</x:v>
      </x:c>
      <x:c r="G87" s="60" t="n">
        <x:v>95</x:v>
      </x:c>
      <x:c r="H87" s="60" t="n">
        <x:v>95</x:v>
      </x:c>
      <x:c r="I87" s="60" t="n">
        <x:v>80</x:v>
      </x:c>
      <x:c r="J87" s="60" t="n">
        <x:v>55</x:v>
      </x:c>
      <x:c r="K87" s="60" t="n">
        <x:v>515</x:v>
      </x:c>
      <x:c r="L87" s="64" t="n">
        <x:f>MAX('Growth Rules'!$B$8,ROUND(('Growth Rules'!$B$4+'Growth Rules'!$B$5*($K87-'Growth Rules'!$B$6))*(E87/($K87/6))^'Growth Rules'!$B$7,0))</x:f>
        <x:v>56</x:v>
      </x:c>
      <x:c r="M87" s="64" t="n">
        <x:f>MAX('Growth Rules'!$B$8,ROUND(('Growth Rules'!$B$4+'Growth Rules'!$B$5*($K87-'Growth Rules'!$B$6))*(F87/($K87/6))^'Growth Rules'!$B$7,0))</x:f>
        <x:v>56</x:v>
      </x:c>
      <x:c r="N87" s="64" t="n">
        <x:f>MAX('Growth Rules'!$B$8,ROUND(('Growth Rules'!$B$4+'Growth Rules'!$B$5*($K87-'Growth Rules'!$B$6))*(G87/($K87/6))^'Growth Rules'!$B$7,0))</x:f>
        <x:v>56</x:v>
      </x:c>
      <x:c r="O87" s="64" t="n">
        <x:f>MAX('Growth Rules'!$B$8,ROUND(('Growth Rules'!$B$4+'Growth Rules'!$B$5*($K87-'Growth Rules'!$B$6))*(H87/($K87/6))^'Growth Rules'!$B$7,0))</x:f>
        <x:v>56</x:v>
      </x:c>
      <x:c r="P87" s="64" t="n">
        <x:f>MAX('Growth Rules'!$B$8,ROUND(('Growth Rules'!$B$4+'Growth Rules'!$B$5*($K87-'Growth Rules'!$B$6))*(I87/($K87/6))^'Growth Rules'!$B$7,0))</x:f>
        <x:v>38</x:v>
      </x:c>
      <x:c r="Q87" s="64" t="n">
        <x:f>MAX('Growth Rules'!$B$8,ROUND(('Growth Rules'!$B$4+'Growth Rules'!$B$5*($K87-'Growth Rules'!$B$6))*(J87/($K87/6))^'Growth Rules'!$B$7,0))</x:f>
        <x:v>16</x:v>
      </x:c>
      <x:c r="R87" s="66" t="n">
        <x:f>SUM(L87:Q87)/100</x:f>
        <x:v>2.78</x:v>
      </x:c>
      <x:c r="S87" s="62" t="str"/>
      <x:c r="T87" s="62" t="str"/>
      <x:c r="U87" s="62" t="str"/>
      <x:c r="V87" s="62" t="str"/>
      <x:c r="W87" s="62" t="str"/>
      <x:c r="X87" s="62" t="str"/>
      <x:c r="Y87" s="62" t="str">
        <x:v>Regional_Dex_Stats_and_Abilities_COMPLETE_v2.xlsx + Regional_Dex_Progression_Learnsets_v3.xlsx</x:v>
      </x:c>
    </x:row>
    <x:row r="88">
      <x:c r="A88" s="60" t="n">
        <x:v>85</x:v>
      </x:c>
      <x:c r="B88" s="62" t="str">
        <x:v>Tyrquill</x:v>
      </x:c>
      <x:c r="C88" s="62" t="str">
        <x:v>Steel</x:v>
      </x:c>
      <x:c r="D88" s="62" t="str"/>
      <x:c r="E88" s="60" t="n">
        <x:v>50</x:v>
      </x:c>
      <x:c r="F88" s="60" t="n">
        <x:v>50</x:v>
      </x:c>
      <x:c r="G88" s="60" t="n">
        <x:v>90</x:v>
      </x:c>
      <x:c r="H88" s="60" t="n">
        <x:v>35</x:v>
      </x:c>
      <x:c r="I88" s="60" t="n">
        <x:v>55</x:v>
      </x:c>
      <x:c r="J88" s="60" t="n">
        <x:v>35</x:v>
      </x:c>
      <x:c r="K88" s="60" t="n">
        <x:v>315</x:v>
      </x:c>
      <x:c r="L88" s="64" t="n">
        <x:f>MAX('Growth Rules'!$B$8,ROUND(('Growth Rules'!$B$4+'Growth Rules'!$B$5*($K88-'Growth Rules'!$B$6))*(E88/($K88/6))^'Growth Rules'!$B$7,0))</x:f>
        <x:v>29</x:v>
      </x:c>
      <x:c r="M88" s="64" t="n">
        <x:f>MAX('Growth Rules'!$B$8,ROUND(('Growth Rules'!$B$4+'Growth Rules'!$B$5*($K88-'Growth Rules'!$B$6))*(F88/($K88/6))^'Growth Rules'!$B$7,0))</x:f>
        <x:v>29</x:v>
      </x:c>
      <x:c r="N88" s="64" t="n">
        <x:f>MAX('Growth Rules'!$B$8,ROUND(('Growth Rules'!$B$4+'Growth Rules'!$B$5*($K88-'Growth Rules'!$B$6))*(G88/($K88/6))^'Growth Rules'!$B$7,0))</x:f>
        <x:v>111</x:v>
      </x:c>
      <x:c r="O88" s="64" t="n">
        <x:f>MAX('Growth Rules'!$B$8,ROUND(('Growth Rules'!$B$4+'Growth Rules'!$B$5*($K88-'Growth Rules'!$B$6))*(H88/($K88/6))^'Growth Rules'!$B$7,0))</x:f>
        <x:v>13</x:v>
      </x:c>
      <x:c r="P88" s="64" t="n">
        <x:f>MAX('Growth Rules'!$B$8,ROUND(('Growth Rules'!$B$4+'Growth Rules'!$B$5*($K88-'Growth Rules'!$B$6))*(I88/($K88/6))^'Growth Rules'!$B$7,0))</x:f>
        <x:v>37</x:v>
      </x:c>
      <x:c r="Q88" s="64" t="n">
        <x:f>MAX('Growth Rules'!$B$8,ROUND(('Growth Rules'!$B$4+'Growth Rules'!$B$5*($K88-'Growth Rules'!$B$6))*(J88/($K88/6))^'Growth Rules'!$B$7,0))</x:f>
        <x:v>13</x:v>
      </x:c>
      <x:c r="R88" s="66" t="n">
        <x:f>SUM(L88:Q88)/100</x:f>
        <x:v>2.32</x:v>
      </x:c>
      <x:c r="S88" s="62" t="str">
        <x:v>Wraithrone</x:v>
      </x:c>
      <x:c r="T88" s="62" t="str">
        <x:v>LEVEL</x:v>
      </x:c>
      <x:c r="U88" s="62" t="str">
        <x:v>30</x:v>
      </x:c>
      <x:c r="V88" s="62" t="str"/>
      <x:c r="W88" s="62" t="str">
        <x:v>30</x:v>
      </x:c>
      <x:c r="X88" s="62" t="str">
        <x:v>KEEP EXISTING / VALIDATED</x:v>
      </x:c>
      <x:c r="Y88" s="62" t="str">
        <x:v>Regional_Dex_Stats_and_Abilities_COMPLETE_v2.xlsx + Regional_Dex_Progression_Learnsets_v3.xlsx</x:v>
      </x:c>
    </x:row>
    <x:row r="89">
      <x:c r="A89" s="60" t="n">
        <x:v>86</x:v>
      </x:c>
      <x:c r="B89" s="62" t="str">
        <x:v>Wraithrone</x:v>
      </x:c>
      <x:c r="C89" s="62" t="str">
        <x:v>Steel</x:v>
      </x:c>
      <x:c r="D89" s="62" t="str">
        <x:v>Ghost</x:v>
      </x:c>
      <x:c r="E89" s="60" t="n">
        <x:v>100</x:v>
      </x:c>
      <x:c r="F89" s="60" t="n">
        <x:v>100</x:v>
      </x:c>
      <x:c r="G89" s="60" t="n">
        <x:v>120</x:v>
      </x:c>
      <x:c r="H89" s="60" t="n">
        <x:v>60</x:v>
      </x:c>
      <x:c r="I89" s="60" t="n">
        <x:v>95</x:v>
      </x:c>
      <x:c r="J89" s="60" t="n">
        <x:v>45</x:v>
      </x:c>
      <x:c r="K89" s="60" t="n">
        <x:v>520</x:v>
      </x:c>
      <x:c r="L89" s="64" t="n">
        <x:f>MAX('Growth Rules'!$B$8,ROUND(('Growth Rules'!$B$4+'Growth Rules'!$B$5*($K89-'Growth Rules'!$B$6))*(E89/($K89/6))^'Growth Rules'!$B$7,0))</x:f>
        <x:v>62</x:v>
      </x:c>
      <x:c r="M89" s="64" t="n">
        <x:f>MAX('Growth Rules'!$B$8,ROUND(('Growth Rules'!$B$4+'Growth Rules'!$B$5*($K89-'Growth Rules'!$B$6))*(F89/($K89/6))^'Growth Rules'!$B$7,0))</x:f>
        <x:v>62</x:v>
      </x:c>
      <x:c r="N89" s="64" t="n">
        <x:f>MAX('Growth Rules'!$B$8,ROUND(('Growth Rules'!$B$4+'Growth Rules'!$B$5*($K89-'Growth Rules'!$B$6))*(G89/($K89/6))^'Growth Rules'!$B$7,0))</x:f>
        <x:v>94</x:v>
      </x:c>
      <x:c r="O89" s="64" t="n">
        <x:f>MAX('Growth Rules'!$B$8,ROUND(('Growth Rules'!$B$4+'Growth Rules'!$B$5*($K89-'Growth Rules'!$B$6))*(H89/($K89/6))^'Growth Rules'!$B$7,0))</x:f>
        <x:v>20</x:v>
      </x:c>
      <x:c r="P89" s="64" t="n">
        <x:f>MAX('Growth Rules'!$B$8,ROUND(('Growth Rules'!$B$4+'Growth Rules'!$B$5*($K89-'Growth Rules'!$B$6))*(I89/($K89/6))^'Growth Rules'!$B$7,0))</x:f>
        <x:v>56</x:v>
      </x:c>
      <x:c r="Q89" s="64" t="n">
        <x:f>MAX('Growth Rules'!$B$8,ROUND(('Growth Rules'!$B$4+'Growth Rules'!$B$5*($K89-'Growth Rules'!$B$6))*(J89/($K89/6))^'Growth Rules'!$B$7,0))</x:f>
        <x:v>10</x:v>
      </x:c>
      <x:c r="R89" s="66" t="n">
        <x:f>SUM(L89:Q89)/100</x:f>
        <x:v>3.04</x:v>
      </x:c>
      <x:c r="S89" s="62" t="str"/>
      <x:c r="T89" s="62" t="str"/>
      <x:c r="U89" s="62" t="str"/>
      <x:c r="V89" s="62" t="str"/>
      <x:c r="W89" s="62" t="str"/>
      <x:c r="X89" s="62" t="str"/>
      <x:c r="Y89" s="62" t="str">
        <x:v>Regional_Dex_Stats_and_Abilities_COMPLETE_v2.xlsx + Regional_Dex_Progression_Learnsets_v3.xlsx</x:v>
      </x:c>
    </x:row>
    <x:row r="90">
      <x:c r="A90" s="60" t="n">
        <x:v>87</x:v>
      </x:c>
      <x:c r="B90" s="62" t="str">
        <x:v>Regulet</x:v>
      </x:c>
      <x:c r="C90" s="62" t="str">
        <x:v>Normal</x:v>
      </x:c>
      <x:c r="D90" s="62" t="str"/>
      <x:c r="E90" s="60" t="n">
        <x:v>50</x:v>
      </x:c>
      <x:c r="F90" s="60" t="n">
        <x:v>50</x:v>
      </x:c>
      <x:c r="G90" s="60" t="n">
        <x:v>55</x:v>
      </x:c>
      <x:c r="H90" s="60" t="n">
        <x:v>50</x:v>
      </x:c>
      <x:c r="I90" s="60" t="n">
        <x:v>50</x:v>
      </x:c>
      <x:c r="J90" s="60" t="n">
        <x:v>50</x:v>
      </x:c>
      <x:c r="K90" s="60" t="n">
        <x:v>305</x:v>
      </x:c>
      <x:c r="L90" s="64" t="n">
        <x:f>MAX('Growth Rules'!$B$8,ROUND(('Growth Rules'!$B$4+'Growth Rules'!$B$5*($K90-'Growth Rules'!$B$6))*(E90/($K90/6))^'Growth Rules'!$B$7,0))</x:f>
        <x:v>31</x:v>
      </x:c>
      <x:c r="M90" s="64" t="n">
        <x:f>MAX('Growth Rules'!$B$8,ROUND(('Growth Rules'!$B$4+'Growth Rules'!$B$5*($K90-'Growth Rules'!$B$6))*(F90/($K90/6))^'Growth Rules'!$B$7,0))</x:f>
        <x:v>31</x:v>
      </x:c>
      <x:c r="N90" s="64" t="n">
        <x:f>MAX('Growth Rules'!$B$8,ROUND(('Growth Rules'!$B$4+'Growth Rules'!$B$5*($K90-'Growth Rules'!$B$6))*(G90/($K90/6))^'Growth Rules'!$B$7,0))</x:f>
        <x:v>39</x:v>
      </x:c>
      <x:c r="O90" s="64" t="n">
        <x:f>MAX('Growth Rules'!$B$8,ROUND(('Growth Rules'!$B$4+'Growth Rules'!$B$5*($K90-'Growth Rules'!$B$6))*(H90/($K90/6))^'Growth Rules'!$B$7,0))</x:f>
        <x:v>31</x:v>
      </x:c>
      <x:c r="P90" s="64" t="n">
        <x:f>MAX('Growth Rules'!$B$8,ROUND(('Growth Rules'!$B$4+'Growth Rules'!$B$5*($K90-'Growth Rules'!$B$6))*(I90/($K90/6))^'Growth Rules'!$B$7,0))</x:f>
        <x:v>31</x:v>
      </x:c>
      <x:c r="Q90" s="64" t="n">
        <x:f>MAX('Growth Rules'!$B$8,ROUND(('Growth Rules'!$B$4+'Growth Rules'!$B$5*($K90-'Growth Rules'!$B$6))*(J90/($K90/6))^'Growth Rules'!$B$7,0))</x:f>
        <x:v>31</x:v>
      </x:c>
      <x:c r="R90" s="66" t="n">
        <x:f>SUM(L90:Q90)/100</x:f>
        <x:v>1.94</x:v>
      </x:c>
      <x:c r="S90" s="62" t="str">
        <x:v>Thronelorn</x:v>
      </x:c>
      <x:c r="T90" s="62" t="str">
        <x:v>LEVEL</x:v>
      </x:c>
      <x:c r="U90" s="62" t="str">
        <x:v>24</x:v>
      </x:c>
      <x:c r="V90" s="62" t="str"/>
      <x:c r="W90" s="62" t="str">
        <x:v>24</x:v>
      </x:c>
      <x:c r="X90" s="62" t="str">
        <x:v>KEEP EXISTING / VALIDATED</x:v>
      </x:c>
      <x:c r="Y90" s="62" t="str">
        <x:v>Regional_Dex_Stats_and_Abilities_COMPLETE_v2.xlsx + Regional_Dex_Progression_Learnsets_v3.xlsx</x:v>
      </x:c>
    </x:row>
    <x:row r="91">
      <x:c r="A91" s="60" t="n">
        <x:v>88</x:v>
      </x:c>
      <x:c r="B91" s="62" t="str">
        <x:v>Thronelorn</x:v>
      </x:c>
      <x:c r="C91" s="62" t="str">
        <x:v>Dark</x:v>
      </x:c>
      <x:c r="D91" s="62" t="str"/>
      <x:c r="E91" s="60" t="n">
        <x:v>60</x:v>
      </x:c>
      <x:c r="F91" s="60" t="n">
        <x:v>60</x:v>
      </x:c>
      <x:c r="G91" s="60" t="n">
        <x:v>60</x:v>
      </x:c>
      <x:c r="H91" s="60" t="n">
        <x:v>70</x:v>
      </x:c>
      <x:c r="I91" s="60" t="n">
        <x:v>85</x:v>
      </x:c>
      <x:c r="J91" s="60" t="n">
        <x:v>70</x:v>
      </x:c>
      <x:c r="K91" s="60" t="n">
        <x:v>405</x:v>
      </x:c>
      <x:c r="L91" s="64" t="n">
        <x:f>MAX('Growth Rules'!$B$8,ROUND(('Growth Rules'!$B$4+'Growth Rules'!$B$5*($K91-'Growth Rules'!$B$6))*(E91/($K91/6))^'Growth Rules'!$B$7,0))</x:f>
        <x:v>29</x:v>
      </x:c>
      <x:c r="M91" s="64" t="n">
        <x:f>MAX('Growth Rules'!$B$8,ROUND(('Growth Rules'!$B$4+'Growth Rules'!$B$5*($K91-'Growth Rules'!$B$6))*(F91/($K91/6))^'Growth Rules'!$B$7,0))</x:f>
        <x:v>29</x:v>
      </x:c>
      <x:c r="N91" s="64" t="n">
        <x:f>MAX('Growth Rules'!$B$8,ROUND(('Growth Rules'!$B$4+'Growth Rules'!$B$5*($K91-'Growth Rules'!$B$6))*(G91/($K91/6))^'Growth Rules'!$B$7,0))</x:f>
        <x:v>29</x:v>
      </x:c>
      <x:c r="O91" s="64" t="n">
        <x:f>MAX('Growth Rules'!$B$8,ROUND(('Growth Rules'!$B$4+'Growth Rules'!$B$5*($K91-'Growth Rules'!$B$6))*(H91/($K91/6))^'Growth Rules'!$B$7,0))</x:f>
        <x:v>42</x:v>
      </x:c>
      <x:c r="P91" s="64" t="n">
        <x:f>MAX('Growth Rules'!$B$8,ROUND(('Growth Rules'!$B$4+'Growth Rules'!$B$5*($K91-'Growth Rules'!$B$6))*(I91/($K91/6))^'Growth Rules'!$B$7,0))</x:f>
        <x:v>64</x:v>
      </x:c>
      <x:c r="Q91" s="64" t="n">
        <x:f>MAX('Growth Rules'!$B$8,ROUND(('Growth Rules'!$B$4+'Growth Rules'!$B$5*($K91-'Growth Rules'!$B$6))*(J91/($K91/6))^'Growth Rules'!$B$7,0))</x:f>
        <x:v>42</x:v>
      </x:c>
      <x:c r="R91" s="66" t="n">
        <x:f>SUM(L91:Q91)/100</x:f>
        <x:v>2.35</x:v>
      </x:c>
      <x:c r="S91" s="62" t="str">
        <x:v>Cyprigon</x:v>
      </x:c>
      <x:c r="T91" s="62" t="str">
        <x:v>LEVEL</x:v>
      </x:c>
      <x:c r="U91" s="62" t="str">
        <x:v>42</x:v>
      </x:c>
      <x:c r="V91" s="62" t="str"/>
      <x:c r="W91" s="62" t="str">
        <x:v>42</x:v>
      </x:c>
      <x:c r="X91" s="62" t="str">
        <x:v>KEEP EXISTING / VALIDATED</x:v>
      </x:c>
      <x:c r="Y91" s="62" t="str">
        <x:v>Regional_Dex_Stats_and_Abilities_COMPLETE_v2.xlsx + Regional_Dex_Progression_Learnsets_v3.xlsx</x:v>
      </x:c>
    </x:row>
    <x:row r="92">
      <x:c r="A92" s="60" t="n">
        <x:v>89</x:v>
      </x:c>
      <x:c r="B92" s="62" t="str">
        <x:v>Cyprigon</x:v>
      </x:c>
      <x:c r="C92" s="62" t="str">
        <x:v>Ground</x:v>
      </x:c>
      <x:c r="D92" s="62" t="str">
        <x:v>Dragon</x:v>
      </x:c>
      <x:c r="E92" s="60" t="n">
        <x:v>95</x:v>
      </x:c>
      <x:c r="F92" s="60" t="n">
        <x:v>95</x:v>
      </x:c>
      <x:c r="G92" s="60" t="n">
        <x:v>95</x:v>
      </x:c>
      <x:c r="H92" s="60" t="n">
        <x:v>85</x:v>
      </x:c>
      <x:c r="I92" s="60" t="n">
        <x:v>95</x:v>
      </x:c>
      <x:c r="J92" s="60" t="n">
        <x:v>70</x:v>
      </x:c>
      <x:c r="K92" s="60" t="n">
        <x:v>535</x:v>
      </x:c>
      <x:c r="L92" s="64" t="n">
        <x:f>MAX('Growth Rules'!$B$8,ROUND(('Growth Rules'!$B$4+'Growth Rules'!$B$5*($K92-'Growth Rules'!$B$6))*(E92/($K92/6))^'Growth Rules'!$B$7,0))</x:f>
        <x:v>53</x:v>
      </x:c>
      <x:c r="M92" s="64" t="n">
        <x:f>MAX('Growth Rules'!$B$8,ROUND(('Growth Rules'!$B$4+'Growth Rules'!$B$5*($K92-'Growth Rules'!$B$6))*(F92/($K92/6))^'Growth Rules'!$B$7,0))</x:f>
        <x:v>53</x:v>
      </x:c>
      <x:c r="N92" s="64" t="n">
        <x:f>MAX('Growth Rules'!$B$8,ROUND(('Growth Rules'!$B$4+'Growth Rules'!$B$5*($K92-'Growth Rules'!$B$6))*(G92/($K92/6))^'Growth Rules'!$B$7,0))</x:f>
        <x:v>53</x:v>
      </x:c>
      <x:c r="O92" s="64" t="n">
        <x:f>MAX('Growth Rules'!$B$8,ROUND(('Growth Rules'!$B$4+'Growth Rules'!$B$5*($K92-'Growth Rules'!$B$6))*(H92/($K92/6))^'Growth Rules'!$B$7,0))</x:f>
        <x:v>41</x:v>
      </x:c>
      <x:c r="P92" s="64" t="n">
        <x:f>MAX('Growth Rules'!$B$8,ROUND(('Growth Rules'!$B$4+'Growth Rules'!$B$5*($K92-'Growth Rules'!$B$6))*(I92/($K92/6))^'Growth Rules'!$B$7,0))</x:f>
        <x:v>53</x:v>
      </x:c>
      <x:c r="Q92" s="64" t="n">
        <x:f>MAX('Growth Rules'!$B$8,ROUND(('Growth Rules'!$B$4+'Growth Rules'!$B$5*($K92-'Growth Rules'!$B$6))*(J92/($K92/6))^'Growth Rules'!$B$7,0))</x:f>
        <x:v>27</x:v>
      </x:c>
      <x:c r="R92" s="66" t="n">
        <x:f>SUM(L92:Q92)/100</x:f>
        <x:v>2.8</x:v>
      </x:c>
      <x:c r="S92" s="62" t="str"/>
      <x:c r="T92" s="62" t="str"/>
      <x:c r="U92" s="62" t="str"/>
      <x:c r="V92" s="62" t="str"/>
      <x:c r="W92" s="62" t="str"/>
      <x:c r="X92" s="62" t="str"/>
      <x:c r="Y92" s="62" t="str">
        <x:v>Regional_Dex_Stats_and_Abilities_COMPLETE_v2.xlsx + Regional_Dex_Progression_Learnsets_v3.xlsx</x:v>
      </x:c>
    </x:row>
    <x:row r="93">
      <x:c r="A93" s="60" t="n">
        <x:v>90</x:v>
      </x:c>
      <x:c r="B93" s="62" t="str">
        <x:v>Oathlet</x:v>
      </x:c>
      <x:c r="C93" s="62" t="str">
        <x:v>Normal</x:v>
      </x:c>
      <x:c r="D93" s="62" t="str"/>
      <x:c r="E93" s="60" t="n">
        <x:v>50</x:v>
      </x:c>
      <x:c r="F93" s="60" t="n">
        <x:v>40</x:v>
      </x:c>
      <x:c r="G93" s="60" t="n">
        <x:v>60</x:v>
      </x:c>
      <x:c r="H93" s="60" t="n">
        <x:v>35</x:v>
      </x:c>
      <x:c r="I93" s="60" t="n">
        <x:v>70</x:v>
      </x:c>
      <x:c r="J93" s="60" t="n">
        <x:v>45</x:v>
      </x:c>
      <x:c r="K93" s="60" t="n">
        <x:v>300</x:v>
      </x:c>
      <x:c r="L93" s="64" t="n">
        <x:f>MAX('Growth Rules'!$B$8,ROUND(('Growth Rules'!$B$4+'Growth Rules'!$B$5*($K93-'Growth Rules'!$B$6))*(E93/($K93/6))^'Growth Rules'!$B$7,0))</x:f>
        <x:v>32</x:v>
      </x:c>
      <x:c r="M93" s="64" t="n">
        <x:f>MAX('Growth Rules'!$B$8,ROUND(('Growth Rules'!$B$4+'Growth Rules'!$B$5*($K93-'Growth Rules'!$B$6))*(F93/($K93/6))^'Growth Rules'!$B$7,0))</x:f>
        <x:v>19</x:v>
      </x:c>
      <x:c r="N93" s="64" t="n">
        <x:f>MAX('Growth Rules'!$B$8,ROUND(('Growth Rules'!$B$4+'Growth Rules'!$B$5*($K93-'Growth Rules'!$B$6))*(G93/($K93/6))^'Growth Rules'!$B$7,0))</x:f>
        <x:v>48</x:v>
      </x:c>
      <x:c r="O93" s="64" t="n">
        <x:f>MAX('Growth Rules'!$B$8,ROUND(('Growth Rules'!$B$4+'Growth Rules'!$B$5*($K93-'Growth Rules'!$B$6))*(H93/($K93/6))^'Growth Rules'!$B$7,0))</x:f>
        <x:v>14</x:v>
      </x:c>
      <x:c r="P93" s="64" t="n">
        <x:f>MAX('Growth Rules'!$B$8,ROUND(('Growth Rules'!$B$4+'Growth Rules'!$B$5*($K93-'Growth Rules'!$B$6))*(I93/($K93/6))^'Growth Rules'!$B$7,0))</x:f>
        <x:v>68</x:v>
      </x:c>
      <x:c r="Q93" s="64" t="n">
        <x:f>MAX('Growth Rules'!$B$8,ROUND(('Growth Rules'!$B$4+'Growth Rules'!$B$5*($K93-'Growth Rules'!$B$6))*(J93/($K93/6))^'Growth Rules'!$B$7,0))</x:f>
        <x:v>25</x:v>
      </x:c>
      <x:c r="R93" s="66" t="n">
        <x:f>SUM(L93:Q93)/100</x:f>
        <x:v>2.06</x:v>
      </x:c>
      <x:c r="S93" s="62" t="str">
        <x:v>Parlethorn</x:v>
      </x:c>
      <x:c r="T93" s="62" t="str">
        <x:v>LEVEL</x:v>
      </x:c>
      <x:c r="U93" s="62" t="str">
        <x:v>26</x:v>
      </x:c>
      <x:c r="V93" s="62" t="str"/>
      <x:c r="W93" s="62" t="str">
        <x:v>26</x:v>
      </x:c>
      <x:c r="X93" s="62" t="str">
        <x:v>KEEP EXISTING / VALIDATED</x:v>
      </x:c>
      <x:c r="Y93" s="62" t="str">
        <x:v>Regional_Dex_Stats_and_Abilities_COMPLETE_v2.xlsx + Regional_Dex_Progression_Learnsets_v3.xlsx</x:v>
      </x:c>
    </x:row>
    <x:row r="94">
      <x:c r="A94" s="60" t="n">
        <x:v>91</x:v>
      </x:c>
      <x:c r="B94" s="62" t="str">
        <x:v>Parlethorn</x:v>
      </x:c>
      <x:c r="C94" s="62" t="str">
        <x:v>Steel</x:v>
      </x:c>
      <x:c r="D94" s="62" t="str">
        <x:v>Fairy</x:v>
      </x:c>
      <x:c r="E94" s="60" t="n">
        <x:v>100</x:v>
      </x:c>
      <x:c r="F94" s="60" t="n">
        <x:v>75</x:v>
      </x:c>
      <x:c r="G94" s="60" t="n">
        <x:v>125</x:v>
      </x:c>
      <x:c r="H94" s="60" t="n">
        <x:v>45</x:v>
      </x:c>
      <x:c r="I94" s="60" t="n">
        <x:v>125</x:v>
      </x:c>
      <x:c r="J94" s="60" t="n">
        <x:v>35</x:v>
      </x:c>
      <x:c r="K94" s="60" t="n">
        <x:v>505</x:v>
      </x:c>
      <x:c r="L94" s="64" t="n">
        <x:f>MAX('Growth Rules'!$B$8,ROUND(('Growth Rules'!$B$4+'Growth Rules'!$B$5*($K94-'Growth Rules'!$B$6))*(E94/($K94/6))^'Growth Rules'!$B$7,0))</x:f>
        <x:v>65</x:v>
      </x:c>
      <x:c r="M94" s="64" t="n">
        <x:f>MAX('Growth Rules'!$B$8,ROUND(('Growth Rules'!$B$4+'Growth Rules'!$B$5*($K94-'Growth Rules'!$B$6))*(F94/($K94/6))^'Growth Rules'!$B$7,0))</x:f>
        <x:v>34</x:v>
      </x:c>
      <x:c r="N94" s="64" t="n">
        <x:f>MAX('Growth Rules'!$B$8,ROUND(('Growth Rules'!$B$4+'Growth Rules'!$B$5*($K94-'Growth Rules'!$B$6))*(G94/($K94/6))^'Growth Rules'!$B$7,0))</x:f>
        <x:v>108</x:v>
      </x:c>
      <x:c r="O94" s="64" t="n">
        <x:f>MAX('Growth Rules'!$B$8,ROUND(('Growth Rules'!$B$4+'Growth Rules'!$B$5*($K94-'Growth Rules'!$B$6))*(H94/($K94/6))^'Growth Rules'!$B$7,0))</x:f>
        <x:v>11</x:v>
      </x:c>
      <x:c r="P94" s="64" t="n">
        <x:f>MAX('Growth Rules'!$B$8,ROUND(('Growth Rules'!$B$4+'Growth Rules'!$B$5*($K94-'Growth Rules'!$B$6))*(I94/($K94/6))^'Growth Rules'!$B$7,0))</x:f>
        <x:v>108</x:v>
      </x:c>
      <x:c r="Q94" s="64" t="n">
        <x:f>MAX('Growth Rules'!$B$8,ROUND(('Growth Rules'!$B$4+'Growth Rules'!$B$5*($K94-'Growth Rules'!$B$6))*(J94/($K94/6))^'Growth Rules'!$B$7,0))</x:f>
        <x:v>10</x:v>
      </x:c>
      <x:c r="R94" s="66" t="n">
        <x:f>SUM(L94:Q94)/100</x:f>
        <x:v>3.36</x:v>
      </x:c>
      <x:c r="S94" s="62" t="str"/>
      <x:c r="T94" s="62" t="str"/>
      <x:c r="U94" s="62" t="str"/>
      <x:c r="V94" s="62" t="str"/>
      <x:c r="W94" s="62" t="str"/>
      <x:c r="X94" s="62" t="str"/>
      <x:c r="Y94" s="62" t="str">
        <x:v>Regional_Dex_Stats_and_Abilities_COMPLETE_v2.xlsx + Regional_Dex_Progression_Learnsets_v3.xlsx</x:v>
      </x:c>
    </x:row>
    <x:row r="95">
      <x:c r="A95" s="60" t="n">
        <x:v>92</x:v>
      </x:c>
      <x:c r="B95" s="62" t="str">
        <x:v>Jerbune</x:v>
      </x:c>
      <x:c r="C95" s="62" t="str">
        <x:v>Psychic</x:v>
      </x:c>
      <x:c r="D95" s="62" t="str"/>
      <x:c r="E95" s="60" t="n">
        <x:v>45</x:v>
      </x:c>
      <x:c r="F95" s="60" t="n">
        <x:v>35</x:v>
      </x:c>
      <x:c r="G95" s="60" t="n">
        <x:v>35</x:v>
      </x:c>
      <x:c r="H95" s="60" t="n">
        <x:v>70</x:v>
      </x:c>
      <x:c r="I95" s="60" t="n">
        <x:v>50</x:v>
      </x:c>
      <x:c r="J95" s="60" t="n">
        <x:v>70</x:v>
      </x:c>
      <x:c r="K95" s="60" t="n">
        <x:v>305</x:v>
      </x:c>
      <x:c r="L95" s="64" t="n">
        <x:f>MAX('Growth Rules'!$B$8,ROUND(('Growth Rules'!$B$4+'Growth Rules'!$B$5*($K95-'Growth Rules'!$B$6))*(E95/($K95/6))^'Growth Rules'!$B$7,0))</x:f>
        <x:v>25</x:v>
      </x:c>
      <x:c r="M95" s="64" t="n">
        <x:f>MAX('Growth Rules'!$B$8,ROUND(('Growth Rules'!$B$4+'Growth Rules'!$B$5*($K95-'Growth Rules'!$B$6))*(F95/($K95/6))^'Growth Rules'!$B$7,0))</x:f>
        <x:v>14</x:v>
      </x:c>
      <x:c r="N95" s="64" t="n">
        <x:f>MAX('Growth Rules'!$B$8,ROUND(('Growth Rules'!$B$4+'Growth Rules'!$B$5*($K95-'Growth Rules'!$B$6))*(G95/($K95/6))^'Growth Rules'!$B$7,0))</x:f>
        <x:v>14</x:v>
      </x:c>
      <x:c r="O95" s="64" t="n">
        <x:f>MAX('Growth Rules'!$B$8,ROUND(('Growth Rules'!$B$4+'Growth Rules'!$B$5*($K95-'Growth Rules'!$B$6))*(H95/($K95/6))^'Growth Rules'!$B$7,0))</x:f>
        <x:v>66</x:v>
      </x:c>
      <x:c r="P95" s="64" t="n">
        <x:f>MAX('Growth Rules'!$B$8,ROUND(('Growth Rules'!$B$4+'Growth Rules'!$B$5*($K95-'Growth Rules'!$B$6))*(I95/($K95/6))^'Growth Rules'!$B$7,0))</x:f>
        <x:v>31</x:v>
      </x:c>
      <x:c r="Q95" s="64" t="n">
        <x:f>MAX('Growth Rules'!$B$8,ROUND(('Growth Rules'!$B$4+'Growth Rules'!$B$5*($K95-'Growth Rules'!$B$6))*(J95/($K95/6))^'Growth Rules'!$B$7,0))</x:f>
        <x:v>66</x:v>
      </x:c>
      <x:c r="R95" s="66" t="n">
        <x:f>SUM(L95:Q95)/100</x:f>
        <x:v>2.16</x:v>
      </x:c>
      <x:c r="S95" s="62" t="str">
        <x:v>Concordune; Sundune</x:v>
      </x:c>
      <x:c r="T95" s="62" t="str">
        <x:v>STORY CHOICE; STORY CHOICE</x:v>
      </x:c>
      <x:c r="U95" s="62" t="str">
        <x:v>30; 30</x:v>
      </x:c>
      <x:c r="V95" s="62" t="str">
        <x:v>Concord path; Sunder path</x:v>
      </x:c>
      <x:c r="W95" s="62" t="str">
        <x:v>30; 30</x:v>
      </x:c>
      <x:c r="X95" s="62" t="str">
        <x:v>KEEP EXISTING / VALIDATED</x:v>
      </x:c>
      <x:c r="Y95" s="62" t="str">
        <x:v>Regional_Dex_Stats_and_Abilities_COMPLETE_v2.xlsx + Regional_Dex_Progression_Learnsets_v3.xlsx</x:v>
      </x:c>
    </x:row>
    <x:row r="96">
      <x:c r="A96" s="60" t="n">
        <x:v>93</x:v>
      </x:c>
      <x:c r="B96" s="62" t="str">
        <x:v>Concordune</x:v>
      </x:c>
      <x:c r="C96" s="62" t="str">
        <x:v>Psychic</x:v>
      </x:c>
      <x:c r="D96" s="62" t="str">
        <x:v>Fairy</x:v>
      </x:c>
      <x:c r="E96" s="60" t="n">
        <x:v>75</x:v>
      </x:c>
      <x:c r="F96" s="60" t="n">
        <x:v>50</x:v>
      </x:c>
      <x:c r="G96" s="60" t="n">
        <x:v>75</x:v>
      </x:c>
      <x:c r="H96" s="60" t="n">
        <x:v>100</x:v>
      </x:c>
      <x:c r="I96" s="60" t="n">
        <x:v>100</x:v>
      </x:c>
      <x:c r="J96" s="60" t="n">
        <x:v>100</x:v>
      </x:c>
      <x:c r="K96" s="60" t="n">
        <x:v>500</x:v>
      </x:c>
      <x:c r="L96" s="64" t="n">
        <x:f>MAX('Growth Rules'!$B$8,ROUND(('Growth Rules'!$B$4+'Growth Rules'!$B$5*($K96-'Growth Rules'!$B$6))*(E96/($K96/6))^'Growth Rules'!$B$7,0))</x:f>
        <x:v>35</x:v>
      </x:c>
      <x:c r="M96" s="64" t="n">
        <x:f>MAX('Growth Rules'!$B$8,ROUND(('Growth Rules'!$B$4+'Growth Rules'!$B$5*($K96-'Growth Rules'!$B$6))*(F96/($K96/6))^'Growth Rules'!$B$7,0))</x:f>
        <x:v>14</x:v>
      </x:c>
      <x:c r="N96" s="64" t="n">
        <x:f>MAX('Growth Rules'!$B$8,ROUND(('Growth Rules'!$B$4+'Growth Rules'!$B$5*($K96-'Growth Rules'!$B$6))*(G96/($K96/6))^'Growth Rules'!$B$7,0))</x:f>
        <x:v>35</x:v>
      </x:c>
      <x:c r="O96" s="64" t="n">
        <x:f>MAX('Growth Rules'!$B$8,ROUND(('Growth Rules'!$B$4+'Growth Rules'!$B$5*($K96-'Growth Rules'!$B$6))*(H96/($K96/6))^'Growth Rules'!$B$7,0))</x:f>
        <x:v>66</x:v>
      </x:c>
      <x:c r="P96" s="64" t="n">
        <x:f>MAX('Growth Rules'!$B$8,ROUND(('Growth Rules'!$B$4+'Growth Rules'!$B$5*($K96-'Growth Rules'!$B$6))*(I96/($K96/6))^'Growth Rules'!$B$7,0))</x:f>
        <x:v>66</x:v>
      </x:c>
      <x:c r="Q96" s="64" t="n">
        <x:f>MAX('Growth Rules'!$B$8,ROUND(('Growth Rules'!$B$4+'Growth Rules'!$B$5*($K96-'Growth Rules'!$B$6))*(J96/($K96/6))^'Growth Rules'!$B$7,0))</x:f>
        <x:v>66</x:v>
      </x:c>
      <x:c r="R96" s="66" t="n">
        <x:f>SUM(L96:Q96)/100</x:f>
        <x:v>2.82</x:v>
      </x:c>
      <x:c r="S96" s="62" t="str"/>
      <x:c r="T96" s="62" t="str"/>
      <x:c r="U96" s="62" t="str"/>
      <x:c r="V96" s="62" t="str"/>
      <x:c r="W96" s="62" t="str"/>
      <x:c r="X96" s="62" t="str"/>
      <x:c r="Y96" s="62" t="str">
        <x:v>Regional_Dex_Stats_and_Abilities_COMPLETE_v2.xlsx + Regional_Dex_Progression_Learnsets_v3.xlsx</x:v>
      </x:c>
    </x:row>
    <x:row r="97">
      <x:c r="A97" s="60" t="n">
        <x:v>94</x:v>
      </x:c>
      <x:c r="B97" s="62" t="str">
        <x:v>Sundune</x:v>
      </x:c>
      <x:c r="C97" s="62" t="str">
        <x:v>Psychic</x:v>
      </x:c>
      <x:c r="D97" s="62" t="str">
        <x:v>Dark</x:v>
      </x:c>
      <x:c r="E97" s="60" t="n">
        <x:v>60</x:v>
      </x:c>
      <x:c r="F97" s="60" t="n">
        <x:v>70</x:v>
      </x:c>
      <x:c r="G97" s="60" t="n">
        <x:v>60</x:v>
      </x:c>
      <x:c r="H97" s="60" t="n">
        <x:v>120</x:v>
      </x:c>
      <x:c r="I97" s="60" t="n">
        <x:v>70</x:v>
      </x:c>
      <x:c r="J97" s="60" t="n">
        <x:v>120</x:v>
      </x:c>
      <x:c r="K97" s="60" t="n">
        <x:v>500</x:v>
      </x:c>
      <x:c r="L97" s="64" t="n">
        <x:f>MAX('Growth Rules'!$B$8,ROUND(('Growth Rules'!$B$4+'Growth Rules'!$B$5*($K97-'Growth Rules'!$B$6))*(E97/($K97/6))^'Growth Rules'!$B$7,0))</x:f>
        <x:v>21</x:v>
      </x:c>
      <x:c r="M97" s="64" t="n">
        <x:f>MAX('Growth Rules'!$B$8,ROUND(('Growth Rules'!$B$4+'Growth Rules'!$B$5*($K97-'Growth Rules'!$B$6))*(F97/($K97/6))^'Growth Rules'!$B$7,0))</x:f>
        <x:v>30</x:v>
      </x:c>
      <x:c r="N97" s="64" t="n">
        <x:f>MAX('Growth Rules'!$B$8,ROUND(('Growth Rules'!$B$4+'Growth Rules'!$B$5*($K97-'Growth Rules'!$B$6))*(G97/($K97/6))^'Growth Rules'!$B$7,0))</x:f>
        <x:v>21</x:v>
      </x:c>
      <x:c r="O97" s="64" t="n">
        <x:f>MAX('Growth Rules'!$B$8,ROUND(('Growth Rules'!$B$4+'Growth Rules'!$B$5*($K97-'Growth Rules'!$B$6))*(H97/($K97/6))^'Growth Rules'!$B$7,0))</x:f>
        <x:v>100</x:v>
      </x:c>
      <x:c r="P97" s="64" t="n">
        <x:f>MAX('Growth Rules'!$B$8,ROUND(('Growth Rules'!$B$4+'Growth Rules'!$B$5*($K97-'Growth Rules'!$B$6))*(I97/($K97/6))^'Growth Rules'!$B$7,0))</x:f>
        <x:v>30</x:v>
      </x:c>
      <x:c r="Q97" s="64" t="n">
        <x:f>MAX('Growth Rules'!$B$8,ROUND(('Growth Rules'!$B$4+'Growth Rules'!$B$5*($K97-'Growth Rules'!$B$6))*(J97/($K97/6))^'Growth Rules'!$B$7,0))</x:f>
        <x:v>100</x:v>
      </x:c>
      <x:c r="R97" s="66" t="n">
        <x:f>SUM(L97:Q97)/100</x:f>
        <x:v>3.02</x:v>
      </x:c>
      <x:c r="S97" s="62" t="str"/>
      <x:c r="T97" s="62" t="str"/>
      <x:c r="U97" s="62" t="str"/>
      <x:c r="V97" s="62" t="str"/>
      <x:c r="W97" s="62" t="str"/>
      <x:c r="X97" s="62" t="str"/>
      <x:c r="Y97" s="62" t="str">
        <x:v>Regional_Dex_Stats_and_Abilities_COMPLETE_v2.xlsx + Regional_Dex_Progression_Learnsets_v3.xlsx</x:v>
      </x:c>
    </x:row>
    <x:row r="98">
      <x:c r="A98" s="60" t="n">
        <x:v>95</x:v>
      </x:c>
      <x:c r="B98" s="62" t="str">
        <x:v>Pennmot</x:v>
      </x:c>
      <x:c r="C98" s="62" t="str">
        <x:v>Fighting</x:v>
      </x:c>
      <x:c r="D98" s="62" t="str"/>
      <x:c r="E98" s="60" t="n">
        <x:v>60</x:v>
      </x:c>
      <x:c r="F98" s="60" t="n">
        <x:v>65</x:v>
      </x:c>
      <x:c r="G98" s="60" t="n">
        <x:v>60</x:v>
      </x:c>
      <x:c r="H98" s="60" t="n">
        <x:v>30</x:v>
      </x:c>
      <x:c r="I98" s="60" t="n">
        <x:v>50</x:v>
      </x:c>
      <x:c r="J98" s="60" t="n">
        <x:v>40</x:v>
      </x:c>
      <x:c r="K98" s="60" t="n">
        <x:v>305</x:v>
      </x:c>
      <x:c r="L98" s="64" t="n">
        <x:f>MAX('Growth Rules'!$B$8,ROUND(('Growth Rules'!$B$4+'Growth Rules'!$B$5*($K98-'Growth Rules'!$B$6))*(E98/($K98/6))^'Growth Rules'!$B$7,0))</x:f>
        <x:v>47</x:v>
      </x:c>
      <x:c r="M98" s="64" t="n">
        <x:f>MAX('Growth Rules'!$B$8,ROUND(('Growth Rules'!$B$4+'Growth Rules'!$B$5*($K98-'Growth Rules'!$B$6))*(F98/($K98/6))^'Growth Rules'!$B$7,0))</x:f>
        <x:v>56</x:v>
      </x:c>
      <x:c r="N98" s="64" t="n">
        <x:f>MAX('Growth Rules'!$B$8,ROUND(('Growth Rules'!$B$4+'Growth Rules'!$B$5*($K98-'Growth Rules'!$B$6))*(G98/($K98/6))^'Growth Rules'!$B$7,0))</x:f>
        <x:v>47</x:v>
      </x:c>
      <x:c r="O98" s="64" t="n">
        <x:f>MAX('Growth Rules'!$B$8,ROUND(('Growth Rules'!$B$4+'Growth Rules'!$B$5*($K98-'Growth Rules'!$B$6))*(H98/($K98/6))^'Growth Rules'!$B$7,0))</x:f>
        <x:v>10</x:v>
      </x:c>
      <x:c r="P98" s="64" t="n">
        <x:f>MAX('Growth Rules'!$B$8,ROUND(('Growth Rules'!$B$4+'Growth Rules'!$B$5*($K98-'Growth Rules'!$B$6))*(I98/($K98/6))^'Growth Rules'!$B$7,0))</x:f>
        <x:v>31</x:v>
      </x:c>
      <x:c r="Q98" s="64" t="n">
        <x:f>MAX('Growth Rules'!$B$8,ROUND(('Growth Rules'!$B$4+'Growth Rules'!$B$5*($K98-'Growth Rules'!$B$6))*(J98/($K98/6))^'Growth Rules'!$B$7,0))</x:f>
        <x:v>19</x:v>
      </x:c>
      <x:c r="R98" s="66" t="n">
        <x:f>SUM(L98:Q98)/100</x:f>
        <x:v>2.1</x:v>
      </x:c>
      <x:c r="S98" s="62" t="str">
        <x:v>Grudgemont</x:v>
      </x:c>
      <x:c r="T98" s="62" t="str">
        <x:v>LEVEL</x:v>
      </x:c>
      <x:c r="U98" s="62" t="str">
        <x:v>26</x:v>
      </x:c>
      <x:c r="V98" s="62" t="str"/>
      <x:c r="W98" s="62" t="str">
        <x:v>26</x:v>
      </x:c>
      <x:c r="X98" s="62" t="str">
        <x:v>KEEP EXISTING / VALIDATED</x:v>
      </x:c>
      <x:c r="Y98" s="62" t="str">
        <x:v>Regional_Dex_Stats_and_Abilities_COMPLETE_v2.xlsx + Regional_Dex_Progression_Learnsets_v3.xlsx</x:v>
      </x:c>
    </x:row>
    <x:row r="99">
      <x:c r="A99" s="60" t="n">
        <x:v>96</x:v>
      </x:c>
      <x:c r="B99" s="62" t="str">
        <x:v>Grudgemont</x:v>
      </x:c>
      <x:c r="C99" s="62" t="str">
        <x:v>Dark</x:v>
      </x:c>
      <x:c r="D99" s="62" t="str">
        <x:v>Ice</x:v>
      </x:c>
      <x:c r="E99" s="60" t="n">
        <x:v>100</x:v>
      </x:c>
      <x:c r="F99" s="60" t="n">
        <x:v>120</x:v>
      </x:c>
      <x:c r="G99" s="60" t="n">
        <x:v>100</x:v>
      </x:c>
      <x:c r="H99" s="60" t="n">
        <x:v>45</x:v>
      </x:c>
      <x:c r="I99" s="60" t="n">
        <x:v>85</x:v>
      </x:c>
      <x:c r="J99" s="60" t="n">
        <x:v>60</x:v>
      </x:c>
      <x:c r="K99" s="60" t="n">
        <x:v>510</x:v>
      </x:c>
      <x:c r="L99" s="64" t="n">
        <x:f>MAX('Growth Rules'!$B$8,ROUND(('Growth Rules'!$B$4+'Growth Rules'!$B$5*($K99-'Growth Rules'!$B$6))*(E99/($K99/6))^'Growth Rules'!$B$7,0))</x:f>
        <x:v>64</x:v>
      </x:c>
      <x:c r="M99" s="64" t="n">
        <x:f>MAX('Growth Rules'!$B$8,ROUND(('Growth Rules'!$B$4+'Growth Rules'!$B$5*($K99-'Growth Rules'!$B$6))*(F99/($K99/6))^'Growth Rules'!$B$7,0))</x:f>
        <x:v>97</x:v>
      </x:c>
      <x:c r="N99" s="64" t="n">
        <x:f>MAX('Growth Rules'!$B$8,ROUND(('Growth Rules'!$B$4+'Growth Rules'!$B$5*($K99-'Growth Rules'!$B$6))*(G99/($K99/6))^'Growth Rules'!$B$7,0))</x:f>
        <x:v>64</x:v>
      </x:c>
      <x:c r="O99" s="64" t="n">
        <x:f>MAX('Growth Rules'!$B$8,ROUND(('Growth Rules'!$B$4+'Growth Rules'!$B$5*($K99-'Growth Rules'!$B$6))*(H99/($K99/6))^'Growth Rules'!$B$7,0))</x:f>
        <x:v>11</x:v>
      </x:c>
      <x:c r="P99" s="64" t="n">
        <x:f>MAX('Growth Rules'!$B$8,ROUND(('Growth Rules'!$B$4+'Growth Rules'!$B$5*($K99-'Growth Rules'!$B$6))*(I99/($K99/6))^'Growth Rules'!$B$7,0))</x:f>
        <x:v>45</x:v>
      </x:c>
      <x:c r="Q99" s="64" t="n">
        <x:f>MAX('Growth Rules'!$B$8,ROUND(('Growth Rules'!$B$4+'Growth Rules'!$B$5*($K99-'Growth Rules'!$B$6))*(J99/($K99/6))^'Growth Rules'!$B$7,0))</x:f>
        <x:v>20</x:v>
      </x:c>
      <x:c r="R99" s="66" t="n">
        <x:f>SUM(L99:Q99)/100</x:f>
        <x:v>3.01</x:v>
      </x:c>
      <x:c r="S99" s="62" t="str"/>
      <x:c r="T99" s="62" t="str"/>
      <x:c r="U99" s="62" t="str"/>
      <x:c r="V99" s="62" t="str"/>
      <x:c r="W99" s="62" t="str"/>
      <x:c r="X99" s="62" t="str"/>
      <x:c r="Y99" s="62" t="str">
        <x:v>Regional_Dex_Stats_and_Abilities_COMPLETE_v2.xlsx + Regional_Dex_Progression_Learnsets_v3.xlsx</x:v>
      </x:c>
    </x:row>
    <x:row r="100">
      <x:c r="A100" s="60" t="n">
        <x:v>97</x:v>
      </x:c>
      <x:c r="B100" s="62" t="str">
        <x:v>Courstoat</x:v>
      </x:c>
      <x:c r="C100" s="62" t="str">
        <x:v>Normal</x:v>
      </x:c>
      <x:c r="D100" s="62" t="str"/>
      <x:c r="E100" s="60" t="n">
        <x:v>40</x:v>
      </x:c>
      <x:c r="F100" s="60" t="n">
        <x:v>50</x:v>
      </x:c>
      <x:c r="G100" s="60" t="n">
        <x:v>35</x:v>
      </x:c>
      <x:c r="H100" s="60" t="n">
        <x:v>50</x:v>
      </x:c>
      <x:c r="I100" s="60" t="n">
        <x:v>50</x:v>
      </x:c>
      <x:c r="J100" s="60" t="n">
        <x:v>70</x:v>
      </x:c>
      <x:c r="K100" s="60" t="n">
        <x:v>295</x:v>
      </x:c>
      <x:c r="L100" s="64" t="n">
        <x:f>MAX('Growth Rules'!$B$8,ROUND(('Growth Rules'!$B$4+'Growth Rules'!$B$5*($K100-'Growth Rules'!$B$6))*(E100/($K100/6))^'Growth Rules'!$B$7,0))</x:f>
        <x:v>20</x:v>
      </x:c>
      <x:c r="M100" s="64" t="n">
        <x:f>MAX('Growth Rules'!$B$8,ROUND(('Growth Rules'!$B$4+'Growth Rules'!$B$5*($K100-'Growth Rules'!$B$6))*(F100/($K100/6))^'Growth Rules'!$B$7,0))</x:f>
        <x:v>33</x:v>
      </x:c>
      <x:c r="N100" s="64" t="n">
        <x:f>MAX('Growth Rules'!$B$8,ROUND(('Growth Rules'!$B$4+'Growth Rules'!$B$5*($K100-'Growth Rules'!$B$6))*(G100/($K100/6))^'Growth Rules'!$B$7,0))</x:f>
        <x:v>15</x:v>
      </x:c>
      <x:c r="O100" s="64" t="n">
        <x:f>MAX('Growth Rules'!$B$8,ROUND(('Growth Rules'!$B$4+'Growth Rules'!$B$5*($K100-'Growth Rules'!$B$6))*(H100/($K100/6))^'Growth Rules'!$B$7,0))</x:f>
        <x:v>33</x:v>
      </x:c>
      <x:c r="P100" s="64" t="n">
        <x:f>MAX('Growth Rules'!$B$8,ROUND(('Growth Rules'!$B$4+'Growth Rules'!$B$5*($K100-'Growth Rules'!$B$6))*(I100/($K100/6))^'Growth Rules'!$B$7,0))</x:f>
        <x:v>33</x:v>
      </x:c>
      <x:c r="Q100" s="64" t="n">
        <x:f>MAX('Growth Rules'!$B$8,ROUND(('Growth Rules'!$B$4+'Growth Rules'!$B$5*($K100-'Growth Rules'!$B$6))*(J100/($K100/6))^'Growth Rules'!$B$7,0))</x:f>
        <x:v>70</x:v>
      </x:c>
      <x:c r="R100" s="66" t="n">
        <x:f>SUM(L100:Q100)/100</x:f>
        <x:v>2.04</x:v>
      </x:c>
      <x:c r="S100" s="62" t="str">
        <x:v>Reversire</x:v>
      </x:c>
      <x:c r="T100" s="62" t="str">
        <x:v>LEVEL</x:v>
      </x:c>
      <x:c r="U100" s="62" t="str">
        <x:v>26</x:v>
      </x:c>
      <x:c r="V100" s="62" t="str"/>
      <x:c r="W100" s="62" t="str">
        <x:v>26</x:v>
      </x:c>
      <x:c r="X100" s="62" t="str">
        <x:v>KEEP EXISTING / VALIDATED</x:v>
      </x:c>
      <x:c r="Y100" s="62" t="str">
        <x:v>Regional_Dex_Stats_and_Abilities_COMPLETE_v2.xlsx + Regional_Dex_Progression_Learnsets_v3.xlsx</x:v>
      </x:c>
    </x:row>
    <x:row r="101">
      <x:c r="A101" s="60" t="n">
        <x:v>98</x:v>
      </x:c>
      <x:c r="B101" s="62" t="str">
        <x:v>Reversire</x:v>
      </x:c>
      <x:c r="C101" s="62" t="str">
        <x:v>Psychic</x:v>
      </x:c>
      <x:c r="D101" s="62" t="str">
        <x:v>Dark</x:v>
      </x:c>
      <x:c r="E101" s="60" t="n">
        <x:v>70</x:v>
      </x:c>
      <x:c r="F101" s="60" t="n">
        <x:v>80</x:v>
      </x:c>
      <x:c r="G101" s="60" t="n">
        <x:v>60</x:v>
      </x:c>
      <x:c r="H101" s="60" t="n">
        <x:v>95</x:v>
      </x:c>
      <x:c r="I101" s="60" t="n">
        <x:v>80</x:v>
      </x:c>
      <x:c r="J101" s="60" t="n">
        <x:v>120</x:v>
      </x:c>
      <x:c r="K101" s="60" t="n">
        <x:v>505</x:v>
      </x:c>
      <x:c r="L101" s="64" t="n">
        <x:f>MAX('Growth Rules'!$B$8,ROUND(('Growth Rules'!$B$4+'Growth Rules'!$B$5*($K101-'Growth Rules'!$B$6))*(E101/($K101/6))^'Growth Rules'!$B$7,0))</x:f>
        <x:v>29</x:v>
      </x:c>
      <x:c r="M101" s="64" t="n">
        <x:f>MAX('Growth Rules'!$B$8,ROUND(('Growth Rules'!$B$4+'Growth Rules'!$B$5*($K101-'Growth Rules'!$B$6))*(F101/($K101/6))^'Growth Rules'!$B$7,0))</x:f>
        <x:v>40</x:v>
      </x:c>
      <x:c r="N101" s="64" t="n">
        <x:f>MAX('Growth Rules'!$B$8,ROUND(('Growth Rules'!$B$4+'Growth Rules'!$B$5*($K101-'Growth Rules'!$B$6))*(G101/($K101/6))^'Growth Rules'!$B$7,0))</x:f>
        <x:v>21</x:v>
      </x:c>
      <x:c r="O101" s="64" t="n">
        <x:f>MAX('Growth Rules'!$B$8,ROUND(('Growth Rules'!$B$4+'Growth Rules'!$B$5*($K101-'Growth Rules'!$B$6))*(H101/($K101/6))^'Growth Rules'!$B$7,0))</x:f>
        <x:v>58</x:v>
      </x:c>
      <x:c r="P101" s="64" t="n">
        <x:f>MAX('Growth Rules'!$B$8,ROUND(('Growth Rules'!$B$4+'Growth Rules'!$B$5*($K101-'Growth Rules'!$B$6))*(I101/($K101/6))^'Growth Rules'!$B$7,0))</x:f>
        <x:v>40</x:v>
      </x:c>
      <x:c r="Q101" s="64" t="n">
        <x:f>MAX('Growth Rules'!$B$8,ROUND(('Growth Rules'!$B$4+'Growth Rules'!$B$5*($K101-'Growth Rules'!$B$6))*(J101/($K101/6))^'Growth Rules'!$B$7,0))</x:f>
        <x:v>98</x:v>
      </x:c>
      <x:c r="R101" s="66" t="n">
        <x:f>SUM(L101:Q101)/100</x:f>
        <x:v>2.86</x:v>
      </x:c>
      <x:c r="S101" s="62" t="str"/>
      <x:c r="T101" s="62" t="str"/>
      <x:c r="U101" s="62" t="str"/>
      <x:c r="V101" s="62" t="str"/>
      <x:c r="W101" s="62" t="str"/>
      <x:c r="X101" s="62" t="str"/>
      <x:c r="Y101" s="62" t="str">
        <x:v>Regional_Dex_Stats_and_Abilities_COMPLETE_v2.xlsx + Regional_Dex_Progression_Learnsets_v3.xlsx</x:v>
      </x:c>
    </x:row>
    <x:row r="102">
      <x:c r="A102" s="60" t="n">
        <x:v>99</x:v>
      </x:c>
      <x:c r="B102" s="62" t="str">
        <x:v>Whisbat</x:v>
      </x:c>
      <x:c r="C102" s="62" t="str">
        <x:v>Flying</x:v>
      </x:c>
      <x:c r="D102" s="62" t="str"/>
      <x:c r="E102" s="60" t="n">
        <x:v>35</x:v>
      </x:c>
      <x:c r="F102" s="60" t="n">
        <x:v>35</x:v>
      </x:c>
      <x:c r="G102" s="60" t="n">
        <x:v>35</x:v>
      </x:c>
      <x:c r="H102" s="60" t="n">
        <x:v>60</x:v>
      </x:c>
      <x:c r="I102" s="60" t="n">
        <x:v>55</x:v>
      </x:c>
      <x:c r="J102" s="60" t="n">
        <x:v>70</x:v>
      </x:c>
      <x:c r="K102" s="60" t="n">
        <x:v>290</x:v>
      </x:c>
      <x:c r="L102" s="64" t="n">
        <x:f>MAX('Growth Rules'!$B$8,ROUND(('Growth Rules'!$B$4+'Growth Rules'!$B$5*($K102-'Growth Rules'!$B$6))*(E102/($K102/6))^'Growth Rules'!$B$7,0))</x:f>
        <x:v>15</x:v>
      </x:c>
      <x:c r="M102" s="64" t="n">
        <x:f>MAX('Growth Rules'!$B$8,ROUND(('Growth Rules'!$B$4+'Growth Rules'!$B$5*($K102-'Growth Rules'!$B$6))*(F102/($K102/6))^'Growth Rules'!$B$7,0))</x:f>
        <x:v>15</x:v>
      </x:c>
      <x:c r="N102" s="64" t="n">
        <x:f>MAX('Growth Rules'!$B$8,ROUND(('Growth Rules'!$B$4+'Growth Rules'!$B$5*($K102-'Growth Rules'!$B$6))*(G102/($K102/6))^'Growth Rules'!$B$7,0))</x:f>
        <x:v>15</x:v>
      </x:c>
      <x:c r="O102" s="64" t="n">
        <x:f>MAX('Growth Rules'!$B$8,ROUND(('Growth Rules'!$B$4+'Growth Rules'!$B$5*($K102-'Growth Rules'!$B$6))*(H102/($K102/6))^'Growth Rules'!$B$7,0))</x:f>
        <x:v>51</x:v>
      </x:c>
      <x:c r="P102" s="64" t="n">
        <x:f>MAX('Growth Rules'!$B$8,ROUND(('Growth Rules'!$B$4+'Growth Rules'!$B$5*($K102-'Growth Rules'!$B$6))*(I102/($K102/6))^'Growth Rules'!$B$7,0))</x:f>
        <x:v>42</x:v>
      </x:c>
      <x:c r="Q102" s="64" t="n">
        <x:f>MAX('Growth Rules'!$B$8,ROUND(('Growth Rules'!$B$4+'Growth Rules'!$B$5*($K102-'Growth Rules'!$B$6))*(J102/($K102/6))^'Growth Rules'!$B$7,0))</x:f>
        <x:v>72</x:v>
      </x:c>
      <x:c r="R102" s="66" t="n">
        <x:f>SUM(L102:Q102)/100</x:f>
        <x:v>2.1</x:v>
      </x:c>
      <x:c r="S102" s="62" t="str">
        <x:v>Pactecho</x:v>
      </x:c>
      <x:c r="T102" s="62" t="str">
        <x:v>LEVEL</x:v>
      </x:c>
      <x:c r="U102" s="62" t="str">
        <x:v>26</x:v>
      </x:c>
      <x:c r="V102" s="62" t="str"/>
      <x:c r="W102" s="62" t="str">
        <x:v>26</x:v>
      </x:c>
      <x:c r="X102" s="62" t="str">
        <x:v>KEEP EXISTING / VALIDATED</x:v>
      </x:c>
      <x:c r="Y102" s="62" t="str">
        <x:v>Regional_Dex_Stats_and_Abilities_COMPLETE_v2.xlsx + Regional_Dex_Progression_Learnsets_v3.xlsx</x:v>
      </x:c>
    </x:row>
    <x:row r="103">
      <x:c r="A103" s="60" t="n">
        <x:v>100</x:v>
      </x:c>
      <x:c r="B103" s="62" t="str">
        <x:v>Pactecho</x:v>
      </x:c>
      <x:c r="C103" s="62" t="str">
        <x:v>Flying</x:v>
      </x:c>
      <x:c r="D103" s="62" t="str">
        <x:v>Psychic</x:v>
      </x:c>
      <x:c r="E103" s="60" t="n">
        <x:v>75</x:v>
      </x:c>
      <x:c r="F103" s="60" t="n">
        <x:v>50</x:v>
      </x:c>
      <x:c r="G103" s="60" t="n">
        <x:v>60</x:v>
      </x:c>
      <x:c r="H103" s="60" t="n">
        <x:v>100</x:v>
      </x:c>
      <x:c r="I103" s="60" t="n">
        <x:v>105</x:v>
      </x:c>
      <x:c r="J103" s="60" t="n">
        <x:v>105</x:v>
      </x:c>
      <x:c r="K103" s="60" t="n">
        <x:v>495</x:v>
      </x:c>
      <x:c r="L103" s="64" t="n">
        <x:f>MAX('Growth Rules'!$B$8,ROUND(('Growth Rules'!$B$4+'Growth Rules'!$B$5*($K103-'Growth Rules'!$B$6))*(E103/($K103/6))^'Growth Rules'!$B$7,0))</x:f>
        <x:v>35</x:v>
      </x:c>
      <x:c r="M103" s="64" t="n">
        <x:f>MAX('Growth Rules'!$B$8,ROUND(('Growth Rules'!$B$4+'Growth Rules'!$B$5*($K103-'Growth Rules'!$B$6))*(F103/($K103/6))^'Growth Rules'!$B$7,0))</x:f>
        <x:v>14</x:v>
      </x:c>
      <x:c r="N103" s="64" t="n">
        <x:f>MAX('Growth Rules'!$B$8,ROUND(('Growth Rules'!$B$4+'Growth Rules'!$B$5*($K103-'Growth Rules'!$B$6))*(G103/($K103/6))^'Growth Rules'!$B$7,0))</x:f>
        <x:v>21</x:v>
      </x:c>
      <x:c r="O103" s="64" t="n">
        <x:f>MAX('Growth Rules'!$B$8,ROUND(('Growth Rules'!$B$4+'Growth Rules'!$B$5*($K103-'Growth Rules'!$B$6))*(H103/($K103/6))^'Growth Rules'!$B$7,0))</x:f>
        <x:v>67</x:v>
      </x:c>
      <x:c r="P103" s="64" t="n">
        <x:f>MAX('Growth Rules'!$B$8,ROUND(('Growth Rules'!$B$4+'Growth Rules'!$B$5*($K103-'Growth Rules'!$B$6))*(I103/($K103/6))^'Growth Rules'!$B$7,0))</x:f>
        <x:v>75</x:v>
      </x:c>
      <x:c r="Q103" s="64" t="n">
        <x:f>MAX('Growth Rules'!$B$8,ROUND(('Growth Rules'!$B$4+'Growth Rules'!$B$5*($K103-'Growth Rules'!$B$6))*(J103/($K103/6))^'Growth Rules'!$B$7,0))</x:f>
        <x:v>75</x:v>
      </x:c>
      <x:c r="R103" s="66" t="n">
        <x:f>SUM(L103:Q103)/100</x:f>
        <x:v>2.87</x:v>
      </x:c>
      <x:c r="S103" s="62" t="str"/>
      <x:c r="T103" s="62" t="str"/>
      <x:c r="U103" s="62" t="str"/>
      <x:c r="V103" s="62" t="str"/>
      <x:c r="W103" s="62" t="str"/>
      <x:c r="X103" s="62" t="str"/>
      <x:c r="Y103" s="62" t="str">
        <x:v>Regional_Dex_Stats_and_Abilities_COMPLETE_v2.xlsx + Regional_Dex_Progression_Learnsets_v3.xlsx</x:v>
      </x:c>
    </x:row>
    <x:row r="104">
      <x:c r="A104" s="60" t="n">
        <x:v>101</x:v>
      </x:c>
      <x:c r="B104" s="62" t="str">
        <x:v>Limbud</x:v>
      </x:c>
      <x:c r="C104" s="62" t="str">
        <x:v>Grass</x:v>
      </x:c>
      <x:c r="D104" s="62" t="str"/>
      <x:c r="E104" s="60" t="n">
        <x:v>60</x:v>
      </x:c>
      <x:c r="F104" s="60" t="n">
        <x:v>35</x:v>
      </x:c>
      <x:c r="G104" s="60" t="n">
        <x:v>50</x:v>
      </x:c>
      <x:c r="H104" s="60" t="n">
        <x:v>50</x:v>
      </x:c>
      <x:c r="I104" s="60" t="n">
        <x:v>70</x:v>
      </x:c>
      <x:c r="J104" s="60" t="n">
        <x:v>35</x:v>
      </x:c>
      <x:c r="K104" s="60" t="n">
        <x:v>300</x:v>
      </x:c>
      <x:c r="L104" s="64" t="n">
        <x:f>MAX('Growth Rules'!$B$8,ROUND(('Growth Rules'!$B$4+'Growth Rules'!$B$5*($K104-'Growth Rules'!$B$6))*(E104/($K104/6))^'Growth Rules'!$B$7,0))</x:f>
        <x:v>48</x:v>
      </x:c>
      <x:c r="M104" s="64" t="n">
        <x:f>MAX('Growth Rules'!$B$8,ROUND(('Growth Rules'!$B$4+'Growth Rules'!$B$5*($K104-'Growth Rules'!$B$6))*(F104/($K104/6))^'Growth Rules'!$B$7,0))</x:f>
        <x:v>14</x:v>
      </x:c>
      <x:c r="N104" s="64" t="n">
        <x:f>MAX('Growth Rules'!$B$8,ROUND(('Growth Rules'!$B$4+'Growth Rules'!$B$5*($K104-'Growth Rules'!$B$6))*(G104/($K104/6))^'Growth Rules'!$B$7,0))</x:f>
        <x:v>32</x:v>
      </x:c>
      <x:c r="O104" s="64" t="n">
        <x:f>MAX('Growth Rules'!$B$8,ROUND(('Growth Rules'!$B$4+'Growth Rules'!$B$5*($K104-'Growth Rules'!$B$6))*(H104/($K104/6))^'Growth Rules'!$B$7,0))</x:f>
        <x:v>32</x:v>
      </x:c>
      <x:c r="P104" s="64" t="n">
        <x:f>MAX('Growth Rules'!$B$8,ROUND(('Growth Rules'!$B$4+'Growth Rules'!$B$5*($K104-'Growth Rules'!$B$6))*(I104/($K104/6))^'Growth Rules'!$B$7,0))</x:f>
        <x:v>68</x:v>
      </x:c>
      <x:c r="Q104" s="64" t="n">
        <x:f>MAX('Growth Rules'!$B$8,ROUND(('Growth Rules'!$B$4+'Growth Rules'!$B$5*($K104-'Growth Rules'!$B$6))*(J104/($K104/6))^'Growth Rules'!$B$7,0))</x:f>
        <x:v>14</x:v>
      </x:c>
      <x:c r="R104" s="66" t="n">
        <x:f>SUM(L104:Q104)/100</x:f>
        <x:v>2.08</x:v>
      </x:c>
      <x:c r="S104" s="62" t="str">
        <x:v>Laureveil</x:v>
      </x:c>
      <x:c r="T104" s="62" t="str">
        <x:v>LEVEL</x:v>
      </x:c>
      <x:c r="U104" s="62" t="str">
        <x:v>26</x:v>
      </x:c>
      <x:c r="V104" s="62" t="str"/>
      <x:c r="W104" s="62" t="str">
        <x:v>26</x:v>
      </x:c>
      <x:c r="X104" s="62" t="str">
        <x:v>KEEP EXISTING / VALIDATED</x:v>
      </x:c>
      <x:c r="Y104" s="62" t="str">
        <x:v>Regional_Dex_Stats_and_Abilities_COMPLETE_v2.xlsx + Regional_Dex_Progression_Learnsets_v3.xlsx</x:v>
      </x:c>
    </x:row>
    <x:row r="105">
      <x:c r="A105" s="60" t="n">
        <x:v>102</x:v>
      </x:c>
      <x:c r="B105" s="62" t="str">
        <x:v>Laureveil</x:v>
      </x:c>
      <x:c r="C105" s="62" t="str">
        <x:v>Grass</x:v>
      </x:c>
      <x:c r="D105" s="62" t="str">
        <x:v>Ice</x:v>
      </x:c>
      <x:c r="E105" s="60" t="n">
        <x:v>105</x:v>
      </x:c>
      <x:c r="F105" s="60" t="n">
        <x:v>50</x:v>
      </x:c>
      <x:c r="G105" s="60" t="n">
        <x:v>105</x:v>
      </x:c>
      <x:c r="H105" s="60" t="n">
        <x:v>75</x:v>
      </x:c>
      <x:c r="I105" s="60" t="n">
        <x:v>130</x:v>
      </x:c>
      <x:c r="J105" s="60" t="n">
        <x:v>35</x:v>
      </x:c>
      <x:c r="K105" s="60" t="n">
        <x:v>500</x:v>
      </x:c>
      <x:c r="L105" s="64" t="n">
        <x:f>MAX('Growth Rules'!$B$8,ROUND(('Growth Rules'!$B$4+'Growth Rules'!$B$5*($K105-'Growth Rules'!$B$6))*(E105/($K105/6))^'Growth Rules'!$B$7,0))</x:f>
        <x:v>74</x:v>
      </x:c>
      <x:c r="M105" s="64" t="n">
        <x:f>MAX('Growth Rules'!$B$8,ROUND(('Growth Rules'!$B$4+'Growth Rules'!$B$5*($K105-'Growth Rules'!$B$6))*(F105/($K105/6))^'Growth Rules'!$B$7,0))</x:f>
        <x:v>14</x:v>
      </x:c>
      <x:c r="N105" s="64" t="n">
        <x:f>MAX('Growth Rules'!$B$8,ROUND(('Growth Rules'!$B$4+'Growth Rules'!$B$5*($K105-'Growth Rules'!$B$6))*(G105/($K105/6))^'Growth Rules'!$B$7,0))</x:f>
        <x:v>74</x:v>
      </x:c>
      <x:c r="O105" s="64" t="n">
        <x:f>MAX('Growth Rules'!$B$8,ROUND(('Growth Rules'!$B$4+'Growth Rules'!$B$5*($K105-'Growth Rules'!$B$6))*(H105/($K105/6))^'Growth Rules'!$B$7,0))</x:f>
        <x:v>35</x:v>
      </x:c>
      <x:c r="P105" s="64" t="n">
        <x:f>MAX('Growth Rules'!$B$8,ROUND(('Growth Rules'!$B$4+'Growth Rules'!$B$5*($K105-'Growth Rules'!$B$6))*(I105/($K105/6))^'Growth Rules'!$B$7,0))</x:f>
        <x:v>120</x:v>
      </x:c>
      <x:c r="Q105" s="64" t="n">
        <x:f>MAX('Growth Rules'!$B$8,ROUND(('Growth Rules'!$B$4+'Growth Rules'!$B$5*($K105-'Growth Rules'!$B$6))*(J105/($K105/6))^'Growth Rules'!$B$7,0))</x:f>
        <x:v>10</x:v>
      </x:c>
      <x:c r="R105" s="66" t="n">
        <x:f>SUM(L105:Q105)/100</x:f>
        <x:v>3.27</x:v>
      </x:c>
      <x:c r="S105" s="62" t="str"/>
      <x:c r="T105" s="62" t="str"/>
      <x:c r="U105" s="62" t="str"/>
      <x:c r="V105" s="62" t="str"/>
      <x:c r="W105" s="62" t="str"/>
      <x:c r="X105" s="62" t="str"/>
      <x:c r="Y105" s="62" t="str">
        <x:v>Regional_Dex_Stats_and_Abilities_COMPLETE_v2.xlsx + Regional_Dex_Progression_Learnsets_v3.xlsx</x:v>
      </x:c>
    </x:row>
    <x:row r="106">
      <x:c r="A106" s="60" t="n">
        <x:v>103</x:v>
      </x:c>
      <x:c r="B106" s="62" t="str">
        <x:v>Amplet</x:v>
      </x:c>
      <x:c r="C106" s="62" t="str">
        <x:v>Electric</x:v>
      </x:c>
      <x:c r="D106" s="62" t="str"/>
      <x:c r="E106" s="60" t="n">
        <x:v>35</x:v>
      </x:c>
      <x:c r="F106" s="60" t="n">
        <x:v>35</x:v>
      </x:c>
      <x:c r="G106" s="60" t="n">
        <x:v>35</x:v>
      </x:c>
      <x:c r="H106" s="60" t="n">
        <x:v>70</x:v>
      </x:c>
      <x:c r="I106" s="60" t="n">
        <x:v>50</x:v>
      </x:c>
      <x:c r="J106" s="60" t="n">
        <x:v>70</x:v>
      </x:c>
      <x:c r="K106" s="60" t="n">
        <x:v>295</x:v>
      </x:c>
      <x:c r="L106" s="64" t="n">
        <x:f>MAX('Growth Rules'!$B$8,ROUND(('Growth Rules'!$B$4+'Growth Rules'!$B$5*($K106-'Growth Rules'!$B$6))*(E106/($K106/6))^'Growth Rules'!$B$7,0))</x:f>
        <x:v>15</x:v>
      </x:c>
      <x:c r="M106" s="64" t="n">
        <x:f>MAX('Growth Rules'!$B$8,ROUND(('Growth Rules'!$B$4+'Growth Rules'!$B$5*($K106-'Growth Rules'!$B$6))*(F106/($K106/6))^'Growth Rules'!$B$7,0))</x:f>
        <x:v>15</x:v>
      </x:c>
      <x:c r="N106" s="64" t="n">
        <x:f>MAX('Growth Rules'!$B$8,ROUND(('Growth Rules'!$B$4+'Growth Rules'!$B$5*($K106-'Growth Rules'!$B$6))*(G106/($K106/6))^'Growth Rules'!$B$7,0))</x:f>
        <x:v>15</x:v>
      </x:c>
      <x:c r="O106" s="64" t="n">
        <x:f>MAX('Growth Rules'!$B$8,ROUND(('Growth Rules'!$B$4+'Growth Rules'!$B$5*($K106-'Growth Rules'!$B$6))*(H106/($K106/6))^'Growth Rules'!$B$7,0))</x:f>
        <x:v>70</x:v>
      </x:c>
      <x:c r="P106" s="64" t="n">
        <x:f>MAX('Growth Rules'!$B$8,ROUND(('Growth Rules'!$B$4+'Growth Rules'!$B$5*($K106-'Growth Rules'!$B$6))*(I106/($K106/6))^'Growth Rules'!$B$7,0))</x:f>
        <x:v>33</x:v>
      </x:c>
      <x:c r="Q106" s="64" t="n">
        <x:f>MAX('Growth Rules'!$B$8,ROUND(('Growth Rules'!$B$4+'Growth Rules'!$B$5*($K106-'Growth Rules'!$B$6))*(J106/($K106/6))^'Growth Rules'!$B$7,0))</x:f>
        <x:v>70</x:v>
      </x:c>
      <x:c r="R106" s="66" t="n">
        <x:f>SUM(L106:Q106)/100</x:f>
        <x:v>2.18</x:v>
      </x:c>
      <x:c r="S106" s="62" t="str">
        <x:v>Vortamor</x:v>
      </x:c>
      <x:c r="T106" s="62" t="str">
        <x:v>LEVEL</x:v>
      </x:c>
      <x:c r="U106" s="62" t="str">
        <x:v>26</x:v>
      </x:c>
      <x:c r="V106" s="62" t="str"/>
      <x:c r="W106" s="62" t="str">
        <x:v>26</x:v>
      </x:c>
      <x:c r="X106" s="62" t="str">
        <x:v>KEEP EXISTING / VALIDATED</x:v>
      </x:c>
      <x:c r="Y106" s="62" t="str">
        <x:v>Regional_Dex_Stats_and_Abilities_COMPLETE_v2.xlsx + Regional_Dex_Progression_Learnsets_v3.xlsx</x:v>
      </x:c>
    </x:row>
    <x:row r="107">
      <x:c r="A107" s="60" t="n">
        <x:v>104</x:v>
      </x:c>
      <x:c r="B107" s="62" t="str">
        <x:v>Vortamor</x:v>
      </x:c>
      <x:c r="C107" s="62" t="str">
        <x:v>Electric</x:v>
      </x:c>
      <x:c r="D107" s="62" t="str">
        <x:v>Fairy</x:v>
      </x:c>
      <x:c r="E107" s="60" t="n">
        <x:v>75</x:v>
      </x:c>
      <x:c r="F107" s="60" t="n">
        <x:v>45</x:v>
      </x:c>
      <x:c r="G107" s="60" t="n">
        <x:v>60</x:v>
      </x:c>
      <x:c r="H107" s="60" t="n">
        <x:v>125</x:v>
      </x:c>
      <x:c r="I107" s="60" t="n">
        <x:v>85</x:v>
      </x:c>
      <x:c r="J107" s="60" t="n">
        <x:v>120</x:v>
      </x:c>
      <x:c r="K107" s="60" t="n">
        <x:v>510</x:v>
      </x:c>
      <x:c r="L107" s="64" t="n">
        <x:f>MAX('Growth Rules'!$B$8,ROUND(('Growth Rules'!$B$4+'Growth Rules'!$B$5*($K107-'Growth Rules'!$B$6))*(E107/($K107/6))^'Growth Rules'!$B$7,0))</x:f>
        <x:v>34</x:v>
      </x:c>
      <x:c r="M107" s="64" t="n">
        <x:f>MAX('Growth Rules'!$B$8,ROUND(('Growth Rules'!$B$4+'Growth Rules'!$B$5*($K107-'Growth Rules'!$B$6))*(F107/($K107/6))^'Growth Rules'!$B$7,0))</x:f>
        <x:v>11</x:v>
      </x:c>
      <x:c r="N107" s="64" t="n">
        <x:f>MAX('Growth Rules'!$B$8,ROUND(('Growth Rules'!$B$4+'Growth Rules'!$B$5*($K107-'Growth Rules'!$B$6))*(G107/($K107/6))^'Growth Rules'!$B$7,0))</x:f>
        <x:v>20</x:v>
      </x:c>
      <x:c r="O107" s="64" t="n">
        <x:f>MAX('Growth Rules'!$B$8,ROUND(('Growth Rules'!$B$4+'Growth Rules'!$B$5*($K107-'Growth Rules'!$B$6))*(H107/($K107/6))^'Growth Rules'!$B$7,0))</x:f>
        <x:v>106</x:v>
      </x:c>
      <x:c r="P107" s="64" t="n">
        <x:f>MAX('Growth Rules'!$B$8,ROUND(('Growth Rules'!$B$4+'Growth Rules'!$B$5*($K107-'Growth Rules'!$B$6))*(I107/($K107/6))^'Growth Rules'!$B$7,0))</x:f>
        <x:v>45</x:v>
      </x:c>
      <x:c r="Q107" s="64" t="n">
        <x:f>MAX('Growth Rules'!$B$8,ROUND(('Growth Rules'!$B$4+'Growth Rules'!$B$5*($K107-'Growth Rules'!$B$6))*(J107/($K107/6))^'Growth Rules'!$B$7,0))</x:f>
        <x:v>97</x:v>
      </x:c>
      <x:c r="R107" s="66" t="n">
        <x:f>SUM(L107:Q107)/100</x:f>
        <x:v>3.13</x:v>
      </x:c>
      <x:c r="S107" s="62" t="str"/>
      <x:c r="T107" s="62" t="str"/>
      <x:c r="U107" s="62" t="str"/>
      <x:c r="V107" s="62" t="str"/>
      <x:c r="W107" s="62" t="str"/>
      <x:c r="X107" s="62" t="str"/>
      <x:c r="Y107" s="62" t="str">
        <x:v>Regional_Dex_Stats_and_Abilities_COMPLETE_v2.xlsx + Regional_Dex_Progression_Learnsets_v3.xlsx</x:v>
      </x:c>
    </x:row>
    <x:row r="108">
      <x:c r="A108" s="60" t="n">
        <x:v>105</x:v>
      </x:c>
      <x:c r="B108" s="62" t="str">
        <x:v>Nibblub</x:v>
      </x:c>
      <x:c r="C108" s="62" t="str">
        <x:v>Grass</x:v>
      </x:c>
      <x:c r="D108" s="62" t="str"/>
      <x:c r="E108" s="60" t="n">
        <x:v>70</x:v>
      </x:c>
      <x:c r="F108" s="60" t="n">
        <x:v>50</x:v>
      </x:c>
      <x:c r="G108" s="60" t="n">
        <x:v>50</x:v>
      </x:c>
      <x:c r="H108" s="60" t="n">
        <x:v>50</x:v>
      </x:c>
      <x:c r="I108" s="60" t="n">
        <x:v>50</x:v>
      </x:c>
      <x:c r="J108" s="60" t="n">
        <x:v>35</x:v>
      </x:c>
      <x:c r="K108" s="60" t="n">
        <x:v>305</x:v>
      </x:c>
      <x:c r="L108" s="64" t="n">
        <x:f>MAX('Growth Rules'!$B$8,ROUND(('Growth Rules'!$B$4+'Growth Rules'!$B$5*($K108-'Growth Rules'!$B$6))*(E108/($K108/6))^'Growth Rules'!$B$7,0))</x:f>
        <x:v>66</x:v>
      </x:c>
      <x:c r="M108" s="64" t="n">
        <x:f>MAX('Growth Rules'!$B$8,ROUND(('Growth Rules'!$B$4+'Growth Rules'!$B$5*($K108-'Growth Rules'!$B$6))*(F108/($K108/6))^'Growth Rules'!$B$7,0))</x:f>
        <x:v>31</x:v>
      </x:c>
      <x:c r="N108" s="64" t="n">
        <x:f>MAX('Growth Rules'!$B$8,ROUND(('Growth Rules'!$B$4+'Growth Rules'!$B$5*($K108-'Growth Rules'!$B$6))*(G108/($K108/6))^'Growth Rules'!$B$7,0))</x:f>
        <x:v>31</x:v>
      </x:c>
      <x:c r="O108" s="64" t="n">
        <x:f>MAX('Growth Rules'!$B$8,ROUND(('Growth Rules'!$B$4+'Growth Rules'!$B$5*($K108-'Growth Rules'!$B$6))*(H108/($K108/6))^'Growth Rules'!$B$7,0))</x:f>
        <x:v>31</x:v>
      </x:c>
      <x:c r="P108" s="64" t="n">
        <x:f>MAX('Growth Rules'!$B$8,ROUND(('Growth Rules'!$B$4+'Growth Rules'!$B$5*($K108-'Growth Rules'!$B$6))*(I108/($K108/6))^'Growth Rules'!$B$7,0))</x:f>
        <x:v>31</x:v>
      </x:c>
      <x:c r="Q108" s="64" t="n">
        <x:f>MAX('Growth Rules'!$B$8,ROUND(('Growth Rules'!$B$4+'Growth Rules'!$B$5*($K108-'Growth Rules'!$B$6))*(J108/($K108/6))^'Growth Rules'!$B$7,0))</x:f>
        <x:v>14</x:v>
      </x:c>
      <x:c r="R108" s="66" t="n">
        <x:f>SUM(L108:Q108)/100</x:f>
        <x:v>2.04</x:v>
      </x:c>
      <x:c r="S108" s="62" t="str">
        <x:v>Gourbog</x:v>
      </x:c>
      <x:c r="T108" s="62" t="str">
        <x:v>LEVEL</x:v>
      </x:c>
      <x:c r="U108" s="62" t="str">
        <x:v>26</x:v>
      </x:c>
      <x:c r="V108" s="62" t="str"/>
      <x:c r="W108" s="62" t="str">
        <x:v>26</x:v>
      </x:c>
      <x:c r="X108" s="62" t="str">
        <x:v>KEEP EXISTING / VALIDATED</x:v>
      </x:c>
      <x:c r="Y108" s="62" t="str">
        <x:v>Regional_Dex_Stats_and_Abilities_COMPLETE_v2.xlsx + Regional_Dex_Progression_Learnsets_v3.xlsx</x:v>
      </x:c>
    </x:row>
    <x:row r="109">
      <x:c r="A109" s="60" t="n">
        <x:v>106</x:v>
      </x:c>
      <x:c r="B109" s="62" t="str">
        <x:v>Gourbog</x:v>
      </x:c>
      <x:c r="C109" s="62" t="str">
        <x:v>Grass</x:v>
      </x:c>
      <x:c r="D109" s="62" t="str">
        <x:v>Poison</x:v>
      </x:c>
      <x:c r="E109" s="60" t="n">
        <x:v>120</x:v>
      </x:c>
      <x:c r="F109" s="60" t="n">
        <x:v>80</x:v>
      </x:c>
      <x:c r="G109" s="60" t="n">
        <x:v>95</x:v>
      </x:c>
      <x:c r="H109" s="60" t="n">
        <x:v>95</x:v>
      </x:c>
      <x:c r="I109" s="60" t="n">
        <x:v>95</x:v>
      </x:c>
      <x:c r="J109" s="60" t="n">
        <x:v>30</x:v>
      </x:c>
      <x:c r="K109" s="60" t="n">
        <x:v>515</x:v>
      </x:c>
      <x:c r="L109" s="64" t="n">
        <x:f>MAX('Growth Rules'!$B$8,ROUND(('Growth Rules'!$B$4+'Growth Rules'!$B$5*($K109-'Growth Rules'!$B$6))*(E109/($K109/6))^'Growth Rules'!$B$7,0))</x:f>
        <x:v>95</x:v>
      </x:c>
      <x:c r="M109" s="64" t="n">
        <x:f>MAX('Growth Rules'!$B$8,ROUND(('Growth Rules'!$B$4+'Growth Rules'!$B$5*($K109-'Growth Rules'!$B$6))*(F109/($K109/6))^'Growth Rules'!$B$7,0))</x:f>
        <x:v>38</x:v>
      </x:c>
      <x:c r="N109" s="64" t="n">
        <x:f>MAX('Growth Rules'!$B$8,ROUND(('Growth Rules'!$B$4+'Growth Rules'!$B$5*($K109-'Growth Rules'!$B$6))*(G109/($K109/6))^'Growth Rules'!$B$7,0))</x:f>
        <x:v>56</x:v>
      </x:c>
      <x:c r="O109" s="64" t="n">
        <x:f>MAX('Growth Rules'!$B$8,ROUND(('Growth Rules'!$B$4+'Growth Rules'!$B$5*($K109-'Growth Rules'!$B$6))*(H109/($K109/6))^'Growth Rules'!$B$7,0))</x:f>
        <x:v>56</x:v>
      </x:c>
      <x:c r="P109" s="64" t="n">
        <x:f>MAX('Growth Rules'!$B$8,ROUND(('Growth Rules'!$B$4+'Growth Rules'!$B$5*($K109-'Growth Rules'!$B$6))*(I109/($K109/6))^'Growth Rules'!$B$7,0))</x:f>
        <x:v>56</x:v>
      </x:c>
      <x:c r="Q109" s="64" t="n">
        <x:f>MAX('Growth Rules'!$B$8,ROUND(('Growth Rules'!$B$4+'Growth Rules'!$B$5*($K109-'Growth Rules'!$B$6))*(J109/($K109/6))^'Growth Rules'!$B$7,0))</x:f>
        <x:v>10</x:v>
      </x:c>
      <x:c r="R109" s="66" t="n">
        <x:f>SUM(L109:Q109)/100</x:f>
        <x:v>3.11</x:v>
      </x:c>
      <x:c r="S109" s="62" t="str"/>
      <x:c r="T109" s="62" t="str"/>
      <x:c r="U109" s="62" t="str"/>
      <x:c r="V109" s="62" t="str"/>
      <x:c r="W109" s="62" t="str"/>
      <x:c r="X109" s="62" t="str"/>
      <x:c r="Y109" s="62" t="str">
        <x:v>Regional_Dex_Stats_and_Abilities_COMPLETE_v2.xlsx + Regional_Dex_Progression_Learnsets_v3.xlsx</x:v>
      </x:c>
    </x:row>
    <x:row r="110">
      <x:c r="A110" s="60" t="n">
        <x:v>107</x:v>
      </x:c>
      <x:c r="B110" s="62" t="str">
        <x:v>Pebbettle</x:v>
      </x:c>
      <x:c r="C110" s="62" t="str">
        <x:v>Rock</x:v>
      </x:c>
      <x:c r="D110" s="62" t="str"/>
      <x:c r="E110" s="60" t="n">
        <x:v>55</x:v>
      </x:c>
      <x:c r="F110" s="60" t="n">
        <x:v>50</x:v>
      </x:c>
      <x:c r="G110" s="60" t="n">
        <x:v>70</x:v>
      </x:c>
      <x:c r="H110" s="60" t="n">
        <x:v>35</x:v>
      </x:c>
      <x:c r="I110" s="60" t="n">
        <x:v>50</x:v>
      </x:c>
      <x:c r="J110" s="60" t="n">
        <x:v>35</x:v>
      </x:c>
      <x:c r="K110" s="60" t="n">
        <x:v>295</x:v>
      </x:c>
      <x:c r="L110" s="64" t="n">
        <x:f>MAX('Growth Rules'!$B$8,ROUND(('Growth Rules'!$B$4+'Growth Rules'!$B$5*($K110-'Growth Rules'!$B$6))*(E110/($K110/6))^'Growth Rules'!$B$7,0))</x:f>
        <x:v>41</x:v>
      </x:c>
      <x:c r="M110" s="64" t="n">
        <x:f>MAX('Growth Rules'!$B$8,ROUND(('Growth Rules'!$B$4+'Growth Rules'!$B$5*($K110-'Growth Rules'!$B$6))*(F110/($K110/6))^'Growth Rules'!$B$7,0))</x:f>
        <x:v>33</x:v>
      </x:c>
      <x:c r="N110" s="64" t="n">
        <x:f>MAX('Growth Rules'!$B$8,ROUND(('Growth Rules'!$B$4+'Growth Rules'!$B$5*($K110-'Growth Rules'!$B$6))*(G110/($K110/6))^'Growth Rules'!$B$7,0))</x:f>
        <x:v>70</x:v>
      </x:c>
      <x:c r="O110" s="64" t="n">
        <x:f>MAX('Growth Rules'!$B$8,ROUND(('Growth Rules'!$B$4+'Growth Rules'!$B$5*($K110-'Growth Rules'!$B$6))*(H110/($K110/6))^'Growth Rules'!$B$7,0))</x:f>
        <x:v>15</x:v>
      </x:c>
      <x:c r="P110" s="64" t="n">
        <x:f>MAX('Growth Rules'!$B$8,ROUND(('Growth Rules'!$B$4+'Growth Rules'!$B$5*($K110-'Growth Rules'!$B$6))*(I110/($K110/6))^'Growth Rules'!$B$7,0))</x:f>
        <x:v>33</x:v>
      </x:c>
      <x:c r="Q110" s="64" t="n">
        <x:f>MAX('Growth Rules'!$B$8,ROUND(('Growth Rules'!$B$4+'Growth Rules'!$B$5*($K110-'Growth Rules'!$B$6))*(J110/($K110/6))^'Growth Rules'!$B$7,0))</x:f>
        <x:v>15</x:v>
      </x:c>
      <x:c r="R110" s="66" t="n">
        <x:f>SUM(L110:Q110)/100</x:f>
        <x:v>2.07</x:v>
      </x:c>
      <x:c r="S110" s="62" t="str">
        <x:v>Avaroll; Prodiglow</x:v>
      </x:c>
      <x:c r="T110" s="62" t="str">
        <x:v>ITEM; ITEM</x:v>
      </x:c>
      <x:c r="U110" s="62" t="str">
        <x:v>28; 28</x:v>
      </x:c>
      <x:c r="V110" s="62" t="str">
        <x:v>Gilded Nodule; Stormglass</x:v>
      </x:c>
      <x:c r="W110" s="62" t="str">
        <x:v>28; 28</x:v>
      </x:c>
      <x:c r="X110" s="62" t="str">
        <x:v>KEEP EXISTING / VALIDATED</x:v>
      </x:c>
      <x:c r="Y110" s="62" t="str">
        <x:v>Regional_Dex_Stats_and_Abilities_COMPLETE_v2.xlsx + Regional_Dex_Progression_Learnsets_v3.xlsx</x:v>
      </x:c>
    </x:row>
    <x:row r="111">
      <x:c r="A111" s="60" t="n">
        <x:v>108</x:v>
      </x:c>
      <x:c r="B111" s="62" t="str">
        <x:v>Avaroll</x:v>
      </x:c>
      <x:c r="C111" s="62" t="str">
        <x:v>Rock</x:v>
      </x:c>
      <x:c r="D111" s="62" t="str">
        <x:v>Electric</x:v>
      </x:c>
      <x:c r="E111" s="60" t="n">
        <x:v>95</x:v>
      </x:c>
      <x:c r="F111" s="60" t="n">
        <x:v>95</x:v>
      </x:c>
      <x:c r="G111" s="60" t="n">
        <x:v>115</x:v>
      </x:c>
      <x:c r="H111" s="60" t="n">
        <x:v>70</x:v>
      </x:c>
      <x:c r="I111" s="60" t="n">
        <x:v>95</x:v>
      </x:c>
      <x:c r="J111" s="60" t="n">
        <x:v>30</x:v>
      </x:c>
      <x:c r="K111" s="60" t="n">
        <x:v>500</x:v>
      </x:c>
      <x:c r="L111" s="64" t="n">
        <x:f>MAX('Growth Rules'!$B$8,ROUND(('Growth Rules'!$B$4+'Growth Rules'!$B$5*($K111-'Growth Rules'!$B$6))*(E111/($K111/6))^'Growth Rules'!$B$7,0))</x:f>
        <x:v>59</x:v>
      </x:c>
      <x:c r="M111" s="64" t="n">
        <x:f>MAX('Growth Rules'!$B$8,ROUND(('Growth Rules'!$B$4+'Growth Rules'!$B$5*($K111-'Growth Rules'!$B$6))*(F111/($K111/6))^'Growth Rules'!$B$7,0))</x:f>
        <x:v>59</x:v>
      </x:c>
      <x:c r="N111" s="64" t="n">
        <x:f>MAX('Growth Rules'!$B$8,ROUND(('Growth Rules'!$B$4+'Growth Rules'!$B$5*($K111-'Growth Rules'!$B$6))*(G111/($K111/6))^'Growth Rules'!$B$7,0))</x:f>
        <x:v>91</x:v>
      </x:c>
      <x:c r="O111" s="64" t="n">
        <x:f>MAX('Growth Rules'!$B$8,ROUND(('Growth Rules'!$B$4+'Growth Rules'!$B$5*($K111-'Growth Rules'!$B$6))*(H111/($K111/6))^'Growth Rules'!$B$7,0))</x:f>
        <x:v>30</x:v>
      </x:c>
      <x:c r="P111" s="64" t="n">
        <x:f>MAX('Growth Rules'!$B$8,ROUND(('Growth Rules'!$B$4+'Growth Rules'!$B$5*($K111-'Growth Rules'!$B$6))*(I111/($K111/6))^'Growth Rules'!$B$7,0))</x:f>
        <x:v>59</x:v>
      </x:c>
      <x:c r="Q111" s="64" t="n">
        <x:f>MAX('Growth Rules'!$B$8,ROUND(('Growth Rules'!$B$4+'Growth Rules'!$B$5*($K111-'Growth Rules'!$B$6))*(J111/($K111/6))^'Growth Rules'!$B$7,0))</x:f>
        <x:v>10</x:v>
      </x:c>
      <x:c r="R111" s="66" t="n">
        <x:f>SUM(L111:Q111)/100</x:f>
        <x:v>3.08</x:v>
      </x:c>
      <x:c r="S111" s="62" t="str"/>
      <x:c r="T111" s="62" t="str"/>
      <x:c r="U111" s="62" t="str"/>
      <x:c r="V111" s="62" t="str"/>
      <x:c r="W111" s="62" t="str"/>
      <x:c r="X111" s="62" t="str"/>
      <x:c r="Y111" s="62" t="str">
        <x:v>Regional_Dex_Stats_and_Abilities_COMPLETE_v2.xlsx + Regional_Dex_Progression_Learnsets_v3.xlsx</x:v>
      </x:c>
    </x:row>
    <x:row r="112">
      <x:c r="A112" s="60" t="n">
        <x:v>109</x:v>
      </x:c>
      <x:c r="B112" s="62" t="str">
        <x:v>Prodiglow</x:v>
      </x:c>
      <x:c r="C112" s="62" t="str">
        <x:v>Steel</x:v>
      </x:c>
      <x:c r="D112" s="62" t="str">
        <x:v>Electric</x:v>
      </x:c>
      <x:c r="E112" s="60" t="n">
        <x:v>70</x:v>
      </x:c>
      <x:c r="F112" s="60" t="n">
        <x:v>90</x:v>
      </x:c>
      <x:c r="G112" s="60" t="n">
        <x:v>95</x:v>
      </x:c>
      <x:c r="H112" s="60" t="n">
        <x:v>95</x:v>
      </x:c>
      <x:c r="I112" s="60" t="n">
        <x:v>70</x:v>
      </x:c>
      <x:c r="J112" s="60" t="n">
        <x:v>80</x:v>
      </x:c>
      <x:c r="K112" s="60" t="n">
        <x:v>500</x:v>
      </x:c>
      <x:c r="L112" s="64" t="n">
        <x:f>MAX('Growth Rules'!$B$8,ROUND(('Growth Rules'!$B$4+'Growth Rules'!$B$5*($K112-'Growth Rules'!$B$6))*(E112/($K112/6))^'Growth Rules'!$B$7,0))</x:f>
        <x:v>30</x:v>
      </x:c>
      <x:c r="M112" s="64" t="n">
        <x:f>MAX('Growth Rules'!$B$8,ROUND(('Growth Rules'!$B$4+'Growth Rules'!$B$5*($K112-'Growth Rules'!$B$6))*(F112/($K112/6))^'Growth Rules'!$B$7,0))</x:f>
        <x:v>52</x:v>
      </x:c>
      <x:c r="N112" s="64" t="n">
        <x:f>MAX('Growth Rules'!$B$8,ROUND(('Growth Rules'!$B$4+'Growth Rules'!$B$5*($K112-'Growth Rules'!$B$6))*(G112/($K112/6))^'Growth Rules'!$B$7,0))</x:f>
        <x:v>59</x:v>
      </x:c>
      <x:c r="O112" s="64" t="n">
        <x:f>MAX('Growth Rules'!$B$8,ROUND(('Growth Rules'!$B$4+'Growth Rules'!$B$5*($K112-'Growth Rules'!$B$6))*(H112/($K112/6))^'Growth Rules'!$B$7,0))</x:f>
        <x:v>59</x:v>
      </x:c>
      <x:c r="P112" s="64" t="n">
        <x:f>MAX('Growth Rules'!$B$8,ROUND(('Growth Rules'!$B$4+'Growth Rules'!$B$5*($K112-'Growth Rules'!$B$6))*(I112/($K112/6))^'Growth Rules'!$B$7,0))</x:f>
        <x:v>30</x:v>
      </x:c>
      <x:c r="Q112" s="64" t="n">
        <x:f>MAX('Growth Rules'!$B$8,ROUND(('Growth Rules'!$B$4+'Growth Rules'!$B$5*($K112-'Growth Rules'!$B$6))*(J112/($K112/6))^'Growth Rules'!$B$7,0))</x:f>
        <x:v>40</x:v>
      </x:c>
      <x:c r="R112" s="66" t="n">
        <x:f>SUM(L112:Q112)/100</x:f>
        <x:v>2.7</x:v>
      </x:c>
      <x:c r="S112" s="62" t="str"/>
      <x:c r="T112" s="62" t="str"/>
      <x:c r="U112" s="62" t="str"/>
      <x:c r="V112" s="62" t="str"/>
      <x:c r="W112" s="62" t="str"/>
      <x:c r="X112" s="62" t="str"/>
      <x:c r="Y112" s="62" t="str">
        <x:v>Regional_Dex_Stats_and_Abilities_COMPLETE_v2.xlsx + Regional_Dex_Progression_Learnsets_v3.xlsx</x:v>
      </x:c>
    </x:row>
    <x:row r="113">
      <x:c r="A113" s="60" t="n">
        <x:v>110</x:v>
      </x:c>
      <x:c r="B113" s="62" t="str">
        <x:v>Styxlet</x:v>
      </x:c>
      <x:c r="C113" s="62" t="str">
        <x:v>Poison</x:v>
      </x:c>
      <x:c r="D113" s="62" t="str"/>
      <x:c r="E113" s="60" t="n">
        <x:v>50</x:v>
      </x:c>
      <x:c r="F113" s="60" t="n">
        <x:v>50</x:v>
      </x:c>
      <x:c r="G113" s="60" t="n">
        <x:v>50</x:v>
      </x:c>
      <x:c r="H113" s="60" t="n">
        <x:v>50</x:v>
      </x:c>
      <x:c r="I113" s="60" t="n">
        <x:v>50</x:v>
      </x:c>
      <x:c r="J113" s="60" t="n">
        <x:v>50</x:v>
      </x:c>
      <x:c r="K113" s="60" t="n">
        <x:v>300</x:v>
      </x:c>
      <x:c r="L113" s="64" t="n">
        <x:f>MAX('Growth Rules'!$B$8,ROUND(('Growth Rules'!$B$4+'Growth Rules'!$B$5*($K113-'Growth Rules'!$B$6))*(E113/($K113/6))^'Growth Rules'!$B$7,0))</x:f>
        <x:v>32</x:v>
      </x:c>
      <x:c r="M113" s="64" t="n">
        <x:f>MAX('Growth Rules'!$B$8,ROUND(('Growth Rules'!$B$4+'Growth Rules'!$B$5*($K113-'Growth Rules'!$B$6))*(F113/($K113/6))^'Growth Rules'!$B$7,0))</x:f>
        <x:v>32</x:v>
      </x:c>
      <x:c r="N113" s="64" t="n">
        <x:f>MAX('Growth Rules'!$B$8,ROUND(('Growth Rules'!$B$4+'Growth Rules'!$B$5*($K113-'Growth Rules'!$B$6))*(G113/($K113/6))^'Growth Rules'!$B$7,0))</x:f>
        <x:v>32</x:v>
      </x:c>
      <x:c r="O113" s="64" t="n">
        <x:f>MAX('Growth Rules'!$B$8,ROUND(('Growth Rules'!$B$4+'Growth Rules'!$B$5*($K113-'Growth Rules'!$B$6))*(H113/($K113/6))^'Growth Rules'!$B$7,0))</x:f>
        <x:v>32</x:v>
      </x:c>
      <x:c r="P113" s="64" t="n">
        <x:f>MAX('Growth Rules'!$B$8,ROUND(('Growth Rules'!$B$4+'Growth Rules'!$B$5*($K113-'Growth Rules'!$B$6))*(I113/($K113/6))^'Growth Rules'!$B$7,0))</x:f>
        <x:v>32</x:v>
      </x:c>
      <x:c r="Q113" s="64" t="n">
        <x:f>MAX('Growth Rules'!$B$8,ROUND(('Growth Rules'!$B$4+'Growth Rules'!$B$5*($K113-'Growth Rules'!$B$6))*(J113/($K113/6))^'Growth Rules'!$B$7,0))</x:f>
        <x:v>32</x:v>
      </x:c>
      <x:c r="R113" s="66" t="n">
        <x:f>SUM(L113:Q113)/100</x:f>
        <x:v>1.92</x:v>
      </x:c>
      <x:c r="S113" s="62" t="str">
        <x:v>Ragegill; Sulkoad</x:v>
      </x:c>
      <x:c r="T113" s="62" t="str">
        <x:v>ITEM; ITEM</x:v>
      </x:c>
      <x:c r="U113" s="62" t="str">
        <x:v>28; 28</x:v>
      </x:c>
      <x:c r="V113" s="62" t="str">
        <x:v>Bloodstone; Grief Pearl</x:v>
      </x:c>
      <x:c r="W113" s="62" t="str">
        <x:v>28; 28</x:v>
      </x:c>
      <x:c r="X113" s="62" t="str">
        <x:v>KEEP EXISTING / VALIDATED</x:v>
      </x:c>
      <x:c r="Y113" s="62" t="str">
        <x:v>Regional_Dex_Stats_and_Abilities_COMPLETE_v2.xlsx + Regional_Dex_Progression_Learnsets_v3.xlsx</x:v>
      </x:c>
    </x:row>
    <x:row r="114">
      <x:c r="A114" s="60" t="n">
        <x:v>111</x:v>
      </x:c>
      <x:c r="B114" s="62" t="str">
        <x:v>Ragegill</x:v>
      </x:c>
      <x:c r="C114" s="62" t="str">
        <x:v>Water</x:v>
      </x:c>
      <x:c r="D114" s="62" t="str">
        <x:v>Fire</x:v>
      </x:c>
      <x:c r="E114" s="60" t="n">
        <x:v>85</x:v>
      </x:c>
      <x:c r="F114" s="60" t="n">
        <x:v>95</x:v>
      </x:c>
      <x:c r="G114" s="60" t="n">
        <x:v>70</x:v>
      </x:c>
      <x:c r="H114" s="60" t="n">
        <x:v>95</x:v>
      </x:c>
      <x:c r="I114" s="60" t="n">
        <x:v>60</x:v>
      </x:c>
      <x:c r="J114" s="60" t="n">
        <x:v>95</x:v>
      </x:c>
      <x:c r="K114" s="60" t="n">
        <x:v>500</x:v>
      </x:c>
      <x:c r="L114" s="64" t="n">
        <x:f>MAX('Growth Rules'!$B$8,ROUND(('Growth Rules'!$B$4+'Growth Rules'!$B$5*($K114-'Growth Rules'!$B$6))*(E114/($K114/6))^'Growth Rules'!$B$7,0))</x:f>
        <x:v>46</x:v>
      </x:c>
      <x:c r="M114" s="64" t="n">
        <x:f>MAX('Growth Rules'!$B$8,ROUND(('Growth Rules'!$B$4+'Growth Rules'!$B$5*($K114-'Growth Rules'!$B$6))*(F114/($K114/6))^'Growth Rules'!$B$7,0))</x:f>
        <x:v>59</x:v>
      </x:c>
      <x:c r="N114" s="64" t="n">
        <x:f>MAX('Growth Rules'!$B$8,ROUND(('Growth Rules'!$B$4+'Growth Rules'!$B$5*($K114-'Growth Rules'!$B$6))*(G114/($K114/6))^'Growth Rules'!$B$7,0))</x:f>
        <x:v>30</x:v>
      </x:c>
      <x:c r="O114" s="64" t="n">
        <x:f>MAX('Growth Rules'!$B$8,ROUND(('Growth Rules'!$B$4+'Growth Rules'!$B$5*($K114-'Growth Rules'!$B$6))*(H114/($K114/6))^'Growth Rules'!$B$7,0))</x:f>
        <x:v>59</x:v>
      </x:c>
      <x:c r="P114" s="64" t="n">
        <x:f>MAX('Growth Rules'!$B$8,ROUND(('Growth Rules'!$B$4+'Growth Rules'!$B$5*($K114-'Growth Rules'!$B$6))*(I114/($K114/6))^'Growth Rules'!$B$7,0))</x:f>
        <x:v>21</x:v>
      </x:c>
      <x:c r="Q114" s="64" t="n">
        <x:f>MAX('Growth Rules'!$B$8,ROUND(('Growth Rules'!$B$4+'Growth Rules'!$B$5*($K114-'Growth Rules'!$B$6))*(J114/($K114/6))^'Growth Rules'!$B$7,0))</x:f>
        <x:v>59</x:v>
      </x:c>
      <x:c r="R114" s="66" t="n">
        <x:f>SUM(L114:Q114)/100</x:f>
        <x:v>2.74</x:v>
      </x:c>
      <x:c r="S114" s="62" t="str"/>
      <x:c r="T114" s="62" t="str"/>
      <x:c r="U114" s="62" t="str"/>
      <x:c r="V114" s="62" t="str"/>
      <x:c r="W114" s="62" t="str"/>
      <x:c r="X114" s="62" t="str"/>
      <x:c r="Y114" s="62" t="str">
        <x:v>Regional_Dex_Stats_and_Abilities_COMPLETE_v2.xlsx + Regional_Dex_Progression_Learnsets_v3.xlsx</x:v>
      </x:c>
    </x:row>
    <x:row r="115">
      <x:c r="A115" s="60" t="n">
        <x:v>112</x:v>
      </x:c>
      <x:c r="B115" s="62" t="str">
        <x:v>Sulkoad</x:v>
      </x:c>
      <x:c r="C115" s="62" t="str">
        <x:v>Water</x:v>
      </x:c>
      <x:c r="D115" s="62" t="str">
        <x:v>Ice</x:v>
      </x:c>
      <x:c r="E115" s="60" t="n">
        <x:v>95</x:v>
      </x:c>
      <x:c r="F115" s="60" t="n">
        <x:v>70</x:v>
      </x:c>
      <x:c r="G115" s="60" t="n">
        <x:v>95</x:v>
      </x:c>
      <x:c r="H115" s="60" t="n">
        <x:v>85</x:v>
      </x:c>
      <x:c r="I115" s="60" t="n">
        <x:v>120</x:v>
      </x:c>
      <x:c r="J115" s="60" t="n">
        <x:v>35</x:v>
      </x:c>
      <x:c r="K115" s="60" t="n">
        <x:v>500</x:v>
      </x:c>
      <x:c r="L115" s="64" t="n">
        <x:f>MAX('Growth Rules'!$B$8,ROUND(('Growth Rules'!$B$4+'Growth Rules'!$B$5*($K115-'Growth Rules'!$B$6))*(E115/($K115/6))^'Growth Rules'!$B$7,0))</x:f>
        <x:v>59</x:v>
      </x:c>
      <x:c r="M115" s="64" t="n">
        <x:f>MAX('Growth Rules'!$B$8,ROUND(('Growth Rules'!$B$4+'Growth Rules'!$B$5*($K115-'Growth Rules'!$B$6))*(F115/($K115/6))^'Growth Rules'!$B$7,0))</x:f>
        <x:v>30</x:v>
      </x:c>
      <x:c r="N115" s="64" t="n">
        <x:f>MAX('Growth Rules'!$B$8,ROUND(('Growth Rules'!$B$4+'Growth Rules'!$B$5*($K115-'Growth Rules'!$B$6))*(G115/($K115/6))^'Growth Rules'!$B$7,0))</x:f>
        <x:v>59</x:v>
      </x:c>
      <x:c r="O115" s="64" t="n">
        <x:f>MAX('Growth Rules'!$B$8,ROUND(('Growth Rules'!$B$4+'Growth Rules'!$B$5*($K115-'Growth Rules'!$B$6))*(H115/($K115/6))^'Growth Rules'!$B$7,0))</x:f>
        <x:v>46</x:v>
      </x:c>
      <x:c r="P115" s="64" t="n">
        <x:f>MAX('Growth Rules'!$B$8,ROUND(('Growth Rules'!$B$4+'Growth Rules'!$B$5*($K115-'Growth Rules'!$B$6))*(I115/($K115/6))^'Growth Rules'!$B$7,0))</x:f>
        <x:v>100</x:v>
      </x:c>
      <x:c r="Q115" s="64" t="n">
        <x:f>MAX('Growth Rules'!$B$8,ROUND(('Growth Rules'!$B$4+'Growth Rules'!$B$5*($K115-'Growth Rules'!$B$6))*(J115/($K115/6))^'Growth Rules'!$B$7,0))</x:f>
        <x:v>10</x:v>
      </x:c>
      <x:c r="R115" s="66" t="n">
        <x:f>SUM(L115:Q115)/100</x:f>
        <x:v>3.04</x:v>
      </x:c>
      <x:c r="S115" s="62" t="str"/>
      <x:c r="T115" s="62" t="str"/>
      <x:c r="U115" s="62" t="str"/>
      <x:c r="V115" s="62" t="str"/>
      <x:c r="W115" s="62" t="str"/>
      <x:c r="X115" s="62" t="str"/>
      <x:c r="Y115" s="62" t="str">
        <x:v>Regional_Dex_Stats_and_Abilities_COMPLETE_v2.xlsx + Regional_Dex_Progression_Learnsets_v3.xlsx</x:v>
      </x:c>
    </x:row>
    <x:row r="116">
      <x:c r="A116" s="60" t="n">
        <x:v>113</x:v>
      </x:c>
      <x:c r="B116" s="62" t="str">
        <x:v>Embertle</x:v>
      </x:c>
      <x:c r="C116" s="62" t="str">
        <x:v>Fire</x:v>
      </x:c>
      <x:c r="D116" s="62" t="str"/>
      <x:c r="E116" s="60" t="n">
        <x:v>60</x:v>
      </x:c>
      <x:c r="F116" s="60" t="n">
        <x:v>50</x:v>
      </x:c>
      <x:c r="G116" s="60" t="n">
        <x:v>65</x:v>
      </x:c>
      <x:c r="H116" s="60" t="n">
        <x:v>50</x:v>
      </x:c>
      <x:c r="I116" s="60" t="n">
        <x:v>60</x:v>
      </x:c>
      <x:c r="J116" s="60" t="n">
        <x:v>20</x:v>
      </x:c>
      <x:c r="K116" s="60" t="n">
        <x:v>305</x:v>
      </x:c>
      <x:c r="L116" s="64" t="n">
        <x:f>MAX('Growth Rules'!$B$8,ROUND(('Growth Rules'!$B$4+'Growth Rules'!$B$5*($K116-'Growth Rules'!$B$6))*(E116/($K116/6))^'Growth Rules'!$B$7,0))</x:f>
        <x:v>47</x:v>
      </x:c>
      <x:c r="M116" s="64" t="n">
        <x:f>MAX('Growth Rules'!$B$8,ROUND(('Growth Rules'!$B$4+'Growth Rules'!$B$5*($K116-'Growth Rules'!$B$6))*(F116/($K116/6))^'Growth Rules'!$B$7,0))</x:f>
        <x:v>31</x:v>
      </x:c>
      <x:c r="N116" s="64" t="n">
        <x:f>MAX('Growth Rules'!$B$8,ROUND(('Growth Rules'!$B$4+'Growth Rules'!$B$5*($K116-'Growth Rules'!$B$6))*(G116/($K116/6))^'Growth Rules'!$B$7,0))</x:f>
        <x:v>56</x:v>
      </x:c>
      <x:c r="O116" s="64" t="n">
        <x:f>MAX('Growth Rules'!$B$8,ROUND(('Growth Rules'!$B$4+'Growth Rules'!$B$5*($K116-'Growth Rules'!$B$6))*(H116/($K116/6))^'Growth Rules'!$B$7,0))</x:f>
        <x:v>31</x:v>
      </x:c>
      <x:c r="P116" s="64" t="n">
        <x:f>MAX('Growth Rules'!$B$8,ROUND(('Growth Rules'!$B$4+'Growth Rules'!$B$5*($K116-'Growth Rules'!$B$6))*(I116/($K116/6))^'Growth Rules'!$B$7,0))</x:f>
        <x:v>47</x:v>
      </x:c>
      <x:c r="Q116" s="64" t="n">
        <x:f>MAX('Growth Rules'!$B$8,ROUND(('Growth Rules'!$B$4+'Growth Rules'!$B$5*($K116-'Growth Rules'!$B$6))*(J116/($K116/6))^'Growth Rules'!$B$7,0))</x:f>
        <x:v>10</x:v>
      </x:c>
      <x:c r="R116" s="66" t="n">
        <x:f>SUM(L116:Q116)/100</x:f>
        <x:v>2.22</x:v>
      </x:c>
      <x:c r="S116" s="62" t="str">
        <x:v>Sepulchel</x:v>
      </x:c>
      <x:c r="T116" s="62" t="str">
        <x:v>LEVEL</x:v>
      </x:c>
      <x:c r="U116" s="62" t="str">
        <x:v>26</x:v>
      </x:c>
      <x:c r="V116" s="62" t="str"/>
      <x:c r="W116" s="62" t="str">
        <x:v>26</x:v>
      </x:c>
      <x:c r="X116" s="62" t="str">
        <x:v>KEEP EXISTING / VALIDATED</x:v>
      </x:c>
      <x:c r="Y116" s="62" t="str">
        <x:v>Regional_Dex_Stats_and_Abilities_COMPLETE_v2.xlsx + Regional_Dex_Progression_Learnsets_v3.xlsx</x:v>
      </x:c>
    </x:row>
    <x:row r="117">
      <x:c r="A117" s="60" t="n">
        <x:v>114</x:v>
      </x:c>
      <x:c r="B117" s="62" t="str">
        <x:v>Sepulchel</x:v>
      </x:c>
      <x:c r="C117" s="62" t="str">
        <x:v>Fire</x:v>
      </x:c>
      <x:c r="D117" s="62" t="str">
        <x:v>Steel</x:v>
      </x:c>
      <x:c r="E117" s="60" t="n">
        <x:v>95</x:v>
      </x:c>
      <x:c r="F117" s="60" t="n">
        <x:v>70</x:v>
      </x:c>
      <x:c r="G117" s="60" t="n">
        <x:v>120</x:v>
      </x:c>
      <x:c r="H117" s="60" t="n">
        <x:v>100</x:v>
      </x:c>
      <x:c r="I117" s="60" t="n">
        <x:v>100</x:v>
      </x:c>
      <x:c r="J117" s="60" t="n">
        <x:v>30</x:v>
      </x:c>
      <x:c r="K117" s="60" t="n">
        <x:v>515</x:v>
      </x:c>
      <x:c r="L117" s="64" t="n">
        <x:f>MAX('Growth Rules'!$B$8,ROUND(('Growth Rules'!$B$4+'Growth Rules'!$B$5*($K117-'Growth Rules'!$B$6))*(E117/($K117/6))^'Growth Rules'!$B$7,0))</x:f>
        <x:v>56</x:v>
      </x:c>
      <x:c r="M117" s="64" t="n">
        <x:f>MAX('Growth Rules'!$B$8,ROUND(('Growth Rules'!$B$4+'Growth Rules'!$B$5*($K117-'Growth Rules'!$B$6))*(F117/($K117/6))^'Growth Rules'!$B$7,0))</x:f>
        <x:v>28</x:v>
      </x:c>
      <x:c r="N117" s="64" t="n">
        <x:f>MAX('Growth Rules'!$B$8,ROUND(('Growth Rules'!$B$4+'Growth Rules'!$B$5*($K117-'Growth Rules'!$B$6))*(G117/($K117/6))^'Growth Rules'!$B$7,0))</x:f>
        <x:v>95</x:v>
      </x:c>
      <x:c r="O117" s="64" t="n">
        <x:f>MAX('Growth Rules'!$B$8,ROUND(('Growth Rules'!$B$4+'Growth Rules'!$B$5*($K117-'Growth Rules'!$B$6))*(H117/($K117/6))^'Growth Rules'!$B$7,0))</x:f>
        <x:v>63</x:v>
      </x:c>
      <x:c r="P117" s="64" t="n">
        <x:f>MAX('Growth Rules'!$B$8,ROUND(('Growth Rules'!$B$4+'Growth Rules'!$B$5*($K117-'Growth Rules'!$B$6))*(I117/($K117/6))^'Growth Rules'!$B$7,0))</x:f>
        <x:v>63</x:v>
      </x:c>
      <x:c r="Q117" s="64" t="n">
        <x:f>MAX('Growth Rules'!$B$8,ROUND(('Growth Rules'!$B$4+'Growth Rules'!$B$5*($K117-'Growth Rules'!$B$6))*(J117/($K117/6))^'Growth Rules'!$B$7,0))</x:f>
        <x:v>10</x:v>
      </x:c>
      <x:c r="R117" s="66" t="n">
        <x:f>SUM(L117:Q117)/100</x:f>
        <x:v>3.15</x:v>
      </x:c>
      <x:c r="S117" s="62" t="str"/>
      <x:c r="T117" s="62" t="str"/>
      <x:c r="U117" s="62" t="str"/>
      <x:c r="V117" s="62" t="str"/>
      <x:c r="W117" s="62" t="str"/>
      <x:c r="X117" s="62" t="str"/>
      <x:c r="Y117" s="62" t="str">
        <x:v>Regional_Dex_Stats_and_Abilities_COMPLETE_v2.xlsx + Regional_Dex_Progression_Learnsets_v3.xlsx</x:v>
      </x:c>
    </x:row>
    <x:row r="118">
      <x:c r="A118" s="60" t="n">
        <x:v>115</x:v>
      </x:c>
      <x:c r="B118" s="62" t="str">
        <x:v>Triskit</x:v>
      </x:c>
      <x:c r="C118" s="62" t="str">
        <x:v>Normal</x:v>
      </x:c>
      <x:c r="D118" s="62" t="str"/>
      <x:c r="E118" s="60" t="n">
        <x:v>50</x:v>
      </x:c>
      <x:c r="F118" s="60" t="n">
        <x:v>55</x:v>
      </x:c>
      <x:c r="G118" s="60" t="n">
        <x:v>55</x:v>
      </x:c>
      <x:c r="H118" s="60" t="n">
        <x:v>55</x:v>
      </x:c>
      <x:c r="I118" s="60" t="n">
        <x:v>55</x:v>
      </x:c>
      <x:c r="J118" s="60" t="n">
        <x:v>50</x:v>
      </x:c>
      <x:c r="K118" s="60" t="n">
        <x:v>320</x:v>
      </x:c>
      <x:c r="L118" s="64" t="n">
        <x:f>MAX('Growth Rules'!$B$8,ROUND(('Growth Rules'!$B$4+'Growth Rules'!$B$5*($K118-'Growth Rules'!$B$6))*(E118/($K118/6))^'Growth Rules'!$B$7,0))</x:f>
        <x:v>29</x:v>
      </x:c>
      <x:c r="M118" s="64" t="n">
        <x:f>MAX('Growth Rules'!$B$8,ROUND(('Growth Rules'!$B$4+'Growth Rules'!$B$5*($K118-'Growth Rules'!$B$6))*(F118/($K118/6))^'Growth Rules'!$B$7,0))</x:f>
        <x:v>36</x:v>
      </x:c>
      <x:c r="N118" s="64" t="n">
        <x:f>MAX('Growth Rules'!$B$8,ROUND(('Growth Rules'!$B$4+'Growth Rules'!$B$5*($K118-'Growth Rules'!$B$6))*(G118/($K118/6))^'Growth Rules'!$B$7,0))</x:f>
        <x:v>36</x:v>
      </x:c>
      <x:c r="O118" s="64" t="n">
        <x:f>MAX('Growth Rules'!$B$8,ROUND(('Growth Rules'!$B$4+'Growth Rules'!$B$5*($K118-'Growth Rules'!$B$6))*(H118/($K118/6))^'Growth Rules'!$B$7,0))</x:f>
        <x:v>36</x:v>
      </x:c>
      <x:c r="P118" s="64" t="n">
        <x:f>MAX('Growth Rules'!$B$8,ROUND(('Growth Rules'!$B$4+'Growth Rules'!$B$5*($K118-'Growth Rules'!$B$6))*(I118/($K118/6))^'Growth Rules'!$B$7,0))</x:f>
        <x:v>36</x:v>
      </x:c>
      <x:c r="Q118" s="64" t="n">
        <x:f>MAX('Growth Rules'!$B$8,ROUND(('Growth Rules'!$B$4+'Growth Rules'!$B$5*($K118-'Growth Rules'!$B$6))*(J118/($K118/6))^'Growth Rules'!$B$7,0))</x:f>
        <x:v>29</x:v>
      </x:c>
      <x:c r="R118" s="66" t="n">
        <x:f>SUM(L118:Q118)/100</x:f>
        <x:v>2.02</x:v>
      </x:c>
      <x:c r="S118" s="62" t="str">
        <x:v>Phlegacorn; Harpbriar; Searwaste</x:v>
      </x:c>
      <x:c r="T118" s="62" t="str">
        <x:v>ITEM; ITEM; ITEM</x:v>
      </x:c>
      <x:c r="U118" s="62" t="str">
        <x:v>30; 30; 30</x:v>
      </x:c>
      <x:c r="V118" s="62" t="str">
        <x:v>Tide Pearl; Mourning Briar; Sunscar Glass</x:v>
      </x:c>
      <x:c r="W118" s="62" t="str">
        <x:v>30; 30; 30</x:v>
      </x:c>
      <x:c r="X118" s="62" t="str">
        <x:v>KEEP EXISTING / VALIDATED</x:v>
      </x:c>
      <x:c r="Y118" s="62" t="str">
        <x:v>Regional_Dex_Stats_and_Abilities_COMPLETE_v2.xlsx + Regional_Dex_Progression_Learnsets_v3.xlsx</x:v>
      </x:c>
    </x:row>
    <x:row r="119">
      <x:c r="A119" s="60" t="n">
        <x:v>116</x:v>
      </x:c>
      <x:c r="B119" s="62" t="str">
        <x:v>Phlegacorn</x:v>
      </x:c>
      <x:c r="C119" s="62" t="str">
        <x:v>Fighting</x:v>
      </x:c>
      <x:c r="D119" s="62" t="str">
        <x:v>Water</x:v>
      </x:c>
      <x:c r="E119" s="60" t="n">
        <x:v>95</x:v>
      </x:c>
      <x:c r="F119" s="60" t="n">
        <x:v>95</x:v>
      </x:c>
      <x:c r="G119" s="60" t="n">
        <x:v>100</x:v>
      </x:c>
      <x:c r="H119" s="60" t="n">
        <x:v>70</x:v>
      </x:c>
      <x:c r="I119" s="60" t="n">
        <x:v>85</x:v>
      </x:c>
      <x:c r="J119" s="60" t="n">
        <x:v>70</x:v>
      </x:c>
      <x:c r="K119" s="60" t="n">
        <x:v>515</x:v>
      </x:c>
      <x:c r="L119" s="64" t="n">
        <x:f>MAX('Growth Rules'!$B$8,ROUND(('Growth Rules'!$B$4+'Growth Rules'!$B$5*($K119-'Growth Rules'!$B$6))*(E119/($K119/6))^'Growth Rules'!$B$7,0))</x:f>
        <x:v>56</x:v>
      </x:c>
      <x:c r="M119" s="64" t="n">
        <x:f>MAX('Growth Rules'!$B$8,ROUND(('Growth Rules'!$B$4+'Growth Rules'!$B$5*($K119-'Growth Rules'!$B$6))*(F119/($K119/6))^'Growth Rules'!$B$7,0))</x:f>
        <x:v>56</x:v>
      </x:c>
      <x:c r="N119" s="64" t="n">
        <x:f>MAX('Growth Rules'!$B$8,ROUND(('Growth Rules'!$B$4+'Growth Rules'!$B$5*($K119-'Growth Rules'!$B$6))*(G119/($K119/6))^'Growth Rules'!$B$7,0))</x:f>
        <x:v>63</x:v>
      </x:c>
      <x:c r="O119" s="64" t="n">
        <x:f>MAX('Growth Rules'!$B$8,ROUND(('Growth Rules'!$B$4+'Growth Rules'!$B$5*($K119-'Growth Rules'!$B$6))*(H119/($K119/6))^'Growth Rules'!$B$7,0))</x:f>
        <x:v>28</x:v>
      </x:c>
      <x:c r="P119" s="64" t="n">
        <x:f>MAX('Growth Rules'!$B$8,ROUND(('Growth Rules'!$B$4+'Growth Rules'!$B$5*($K119-'Growth Rules'!$B$6))*(I119/($K119/6))^'Growth Rules'!$B$7,0))</x:f>
        <x:v>44</x:v>
      </x:c>
      <x:c r="Q119" s="64" t="n">
        <x:f>MAX('Growth Rules'!$B$8,ROUND(('Growth Rules'!$B$4+'Growth Rules'!$B$5*($K119-'Growth Rules'!$B$6))*(J119/($K119/6))^'Growth Rules'!$B$7,0))</x:f>
        <x:v>28</x:v>
      </x:c>
      <x:c r="R119" s="66" t="n">
        <x:f>SUM(L119:Q119)/100</x:f>
        <x:v>2.75</x:v>
      </x:c>
      <x:c r="S119" s="62" t="str"/>
      <x:c r="T119" s="62" t="str"/>
      <x:c r="U119" s="62" t="str"/>
      <x:c r="V119" s="62" t="str"/>
      <x:c r="W119" s="62" t="str"/>
      <x:c r="X119" s="62" t="str"/>
      <x:c r="Y119" s="62" t="str">
        <x:v>Regional_Dex_Stats_and_Abilities_COMPLETE_v2.xlsx + Regional_Dex_Progression_Learnsets_v3.xlsx</x:v>
      </x:c>
    </x:row>
    <x:row r="120">
      <x:c r="A120" s="60" t="n">
        <x:v>117</x:v>
      </x:c>
      <x:c r="B120" s="62" t="str">
        <x:v>Harpbriar</x:v>
      </x:c>
      <x:c r="C120" s="62" t="str">
        <x:v>Grass</x:v>
      </x:c>
      <x:c r="D120" s="62" t="str">
        <x:v>Ghost</x:v>
      </x:c>
      <x:c r="E120" s="60" t="n">
        <x:v>95</x:v>
      </x:c>
      <x:c r="F120" s="60" t="n">
        <x:v>95</x:v>
      </x:c>
      <x:c r="G120" s="60" t="n">
        <x:v>80</x:v>
      </x:c>
      <x:c r="H120" s="60" t="n">
        <x:v>95</x:v>
      </x:c>
      <x:c r="I120" s="60" t="n">
        <x:v>95</x:v>
      </x:c>
      <x:c r="J120" s="60" t="n">
        <x:v>55</x:v>
      </x:c>
      <x:c r="K120" s="60" t="n">
        <x:v>515</x:v>
      </x:c>
      <x:c r="L120" s="64" t="n">
        <x:f>MAX('Growth Rules'!$B$8,ROUND(('Growth Rules'!$B$4+'Growth Rules'!$B$5*($K120-'Growth Rules'!$B$6))*(E120/($K120/6))^'Growth Rules'!$B$7,0))</x:f>
        <x:v>56</x:v>
      </x:c>
      <x:c r="M120" s="64" t="n">
        <x:f>MAX('Growth Rules'!$B$8,ROUND(('Growth Rules'!$B$4+'Growth Rules'!$B$5*($K120-'Growth Rules'!$B$6))*(F120/($K120/6))^'Growth Rules'!$B$7,0))</x:f>
        <x:v>56</x:v>
      </x:c>
      <x:c r="N120" s="64" t="n">
        <x:f>MAX('Growth Rules'!$B$8,ROUND(('Growth Rules'!$B$4+'Growth Rules'!$B$5*($K120-'Growth Rules'!$B$6))*(G120/($K120/6))^'Growth Rules'!$B$7,0))</x:f>
        <x:v>38</x:v>
      </x:c>
      <x:c r="O120" s="64" t="n">
        <x:f>MAX('Growth Rules'!$B$8,ROUND(('Growth Rules'!$B$4+'Growth Rules'!$B$5*($K120-'Growth Rules'!$B$6))*(H120/($K120/6))^'Growth Rules'!$B$7,0))</x:f>
        <x:v>56</x:v>
      </x:c>
      <x:c r="P120" s="64" t="n">
        <x:f>MAX('Growth Rules'!$B$8,ROUND(('Growth Rules'!$B$4+'Growth Rules'!$B$5*($K120-'Growth Rules'!$B$6))*(I120/($K120/6))^'Growth Rules'!$B$7,0))</x:f>
        <x:v>56</x:v>
      </x:c>
      <x:c r="Q120" s="64" t="n">
        <x:f>MAX('Growth Rules'!$B$8,ROUND(('Growth Rules'!$B$4+'Growth Rules'!$B$5*($K120-'Growth Rules'!$B$6))*(J120/($K120/6))^'Growth Rules'!$B$7,0))</x:f>
        <x:v>16</x:v>
      </x:c>
      <x:c r="R120" s="66" t="n">
        <x:f>SUM(L120:Q120)/100</x:f>
        <x:v>2.78</x:v>
      </x:c>
      <x:c r="S120" s="62" t="str"/>
      <x:c r="T120" s="62" t="str"/>
      <x:c r="U120" s="62" t="str"/>
      <x:c r="V120" s="62" t="str"/>
      <x:c r="W120" s="62" t="str"/>
      <x:c r="X120" s="62" t="str"/>
      <x:c r="Y120" s="62" t="str">
        <x:v>Regional_Dex_Stats_and_Abilities_COMPLETE_v2.xlsx + Regional_Dex_Progression_Learnsets_v3.xlsx</x:v>
      </x:c>
    </x:row>
    <x:row r="121">
      <x:c r="A121" s="60" t="n">
        <x:v>118</x:v>
      </x:c>
      <x:c r="B121" s="62" t="str">
        <x:v>Searwaste</x:v>
      </x:c>
      <x:c r="C121" s="62" t="str">
        <x:v>Ground</x:v>
      </x:c>
      <x:c r="D121" s="62" t="str">
        <x:v>Fire</x:v>
      </x:c>
      <x:c r="E121" s="60" t="n">
        <x:v>100</x:v>
      </x:c>
      <x:c r="F121" s="60" t="n">
        <x:v>100</x:v>
      </x:c>
      <x:c r="G121" s="60" t="n">
        <x:v>120</x:v>
      </x:c>
      <x:c r="H121" s="60" t="n">
        <x:v>75</x:v>
      </x:c>
      <x:c r="I121" s="60" t="n">
        <x:v>75</x:v>
      </x:c>
      <x:c r="J121" s="60" t="n">
        <x:v>45</x:v>
      </x:c>
      <x:c r="K121" s="60" t="n">
        <x:v>515</x:v>
      </x:c>
      <x:c r="L121" s="64" t="n">
        <x:f>MAX('Growth Rules'!$B$8,ROUND(('Growth Rules'!$B$4+'Growth Rules'!$B$5*($K121-'Growth Rules'!$B$6))*(E121/($K121/6))^'Growth Rules'!$B$7,0))</x:f>
        <x:v>63</x:v>
      </x:c>
      <x:c r="M121" s="64" t="n">
        <x:f>MAX('Growth Rules'!$B$8,ROUND(('Growth Rules'!$B$4+'Growth Rules'!$B$5*($K121-'Growth Rules'!$B$6))*(F121/($K121/6))^'Growth Rules'!$B$7,0))</x:f>
        <x:v>63</x:v>
      </x:c>
      <x:c r="N121" s="64" t="n">
        <x:f>MAX('Growth Rules'!$B$8,ROUND(('Growth Rules'!$B$4+'Growth Rules'!$B$5*($K121-'Growth Rules'!$B$6))*(G121/($K121/6))^'Growth Rules'!$B$7,0))</x:f>
        <x:v>95</x:v>
      </x:c>
      <x:c r="O121" s="64" t="n">
        <x:f>MAX('Growth Rules'!$B$8,ROUND(('Growth Rules'!$B$4+'Growth Rules'!$B$5*($K121-'Growth Rules'!$B$6))*(H121/($K121/6))^'Growth Rules'!$B$7,0))</x:f>
        <x:v>33</x:v>
      </x:c>
      <x:c r="P121" s="64" t="n">
        <x:f>MAX('Growth Rules'!$B$8,ROUND(('Growth Rules'!$B$4+'Growth Rules'!$B$5*($K121-'Growth Rules'!$B$6))*(I121/($K121/6))^'Growth Rules'!$B$7,0))</x:f>
        <x:v>33</x:v>
      </x:c>
      <x:c r="Q121" s="64" t="n">
        <x:f>MAX('Growth Rules'!$B$8,ROUND(('Growth Rules'!$B$4+'Growth Rules'!$B$5*($K121-'Growth Rules'!$B$6))*(J121/($K121/6))^'Growth Rules'!$B$7,0))</x:f>
        <x:v>11</x:v>
      </x:c>
      <x:c r="R121" s="66" t="n">
        <x:f>SUM(L121:Q121)/100</x:f>
        <x:v>2.98</x:v>
      </x:c>
      <x:c r="S121" s="62" t="str"/>
      <x:c r="T121" s="62" t="str"/>
      <x:c r="U121" s="62" t="str"/>
      <x:c r="V121" s="62" t="str"/>
      <x:c r="W121" s="62" t="str"/>
      <x:c r="X121" s="62" t="str"/>
      <x:c r="Y121" s="62" t="str">
        <x:v>Regional_Dex_Stats_and_Abilities_COMPLETE_v2.xlsx + Regional_Dex_Progression_Learnsets_v3.xlsx</x:v>
      </x:c>
    </x:row>
    <x:row r="122">
      <x:c r="A122" s="60" t="n">
        <x:v>119</x:v>
      </x:c>
      <x:c r="B122" s="62" t="str">
        <x:v>Feignid</x:v>
      </x:c>
      <x:c r="C122" s="62" t="str">
        <x:v>Bug</x:v>
      </x:c>
      <x:c r="D122" s="62" t="str"/>
      <x:c r="E122" s="60" t="n">
        <x:v>35</x:v>
      </x:c>
      <x:c r="F122" s="60" t="n">
        <x:v>40</x:v>
      </x:c>
      <x:c r="G122" s="60" t="n">
        <x:v>35</x:v>
      </x:c>
      <x:c r="H122" s="60" t="n">
        <x:v>60</x:v>
      </x:c>
      <x:c r="I122" s="60" t="n">
        <x:v>50</x:v>
      </x:c>
      <x:c r="J122" s="60" t="n">
        <x:v>70</x:v>
      </x:c>
      <x:c r="K122" s="60" t="n">
        <x:v>290</x:v>
      </x:c>
      <x:c r="L122" s="64" t="n">
        <x:f>MAX('Growth Rules'!$B$8,ROUND(('Growth Rules'!$B$4+'Growth Rules'!$B$5*($K122-'Growth Rules'!$B$6))*(E122/($K122/6))^'Growth Rules'!$B$7,0))</x:f>
        <x:v>15</x:v>
      </x:c>
      <x:c r="M122" s="64" t="n">
        <x:f>MAX('Growth Rules'!$B$8,ROUND(('Growth Rules'!$B$4+'Growth Rules'!$B$5*($K122-'Growth Rules'!$B$6))*(F122/($K122/6))^'Growth Rules'!$B$7,0))</x:f>
        <x:v>21</x:v>
      </x:c>
      <x:c r="N122" s="64" t="n">
        <x:f>MAX('Growth Rules'!$B$8,ROUND(('Growth Rules'!$B$4+'Growth Rules'!$B$5*($K122-'Growth Rules'!$B$6))*(G122/($K122/6))^'Growth Rules'!$B$7,0))</x:f>
        <x:v>15</x:v>
      </x:c>
      <x:c r="O122" s="64" t="n">
        <x:f>MAX('Growth Rules'!$B$8,ROUND(('Growth Rules'!$B$4+'Growth Rules'!$B$5*($K122-'Growth Rules'!$B$6))*(H122/($K122/6))^'Growth Rules'!$B$7,0))</x:f>
        <x:v>51</x:v>
      </x:c>
      <x:c r="P122" s="64" t="n">
        <x:f>MAX('Growth Rules'!$B$8,ROUND(('Growth Rules'!$B$4+'Growth Rules'!$B$5*($K122-'Growth Rules'!$B$6))*(I122/($K122/6))^'Growth Rules'!$B$7,0))</x:f>
        <x:v>34</x:v>
      </x:c>
      <x:c r="Q122" s="64" t="n">
        <x:f>MAX('Growth Rules'!$B$8,ROUND(('Growth Rules'!$B$4+'Growth Rules'!$B$5*($K122-'Growth Rules'!$B$6))*(J122/($K122/6))^'Growth Rules'!$B$7,0))</x:f>
        <x:v>72</x:v>
      </x:c>
      <x:c r="R122" s="66" t="n">
        <x:f>SUM(L122:Q122)/100</x:f>
        <x:v>2.08</x:v>
      </x:c>
      <x:c r="S122" s="62" t="str">
        <x:v>Malebolace</x:v>
      </x:c>
      <x:c r="T122" s="62" t="str">
        <x:v>LEVEL</x:v>
      </x:c>
      <x:c r="U122" s="62" t="str">
        <x:v>26</x:v>
      </x:c>
      <x:c r="V122" s="62" t="str"/>
      <x:c r="W122" s="62" t="str">
        <x:v>26</x:v>
      </x:c>
      <x:c r="X122" s="62" t="str">
        <x:v>KEEP EXISTING / VALIDATED</x:v>
      </x:c>
      <x:c r="Y122" s="62" t="str">
        <x:v>Regional_Dex_Stats_and_Abilities_COMPLETE_v2.xlsx + Regional_Dex_Progression_Learnsets_v3.xlsx</x:v>
      </x:c>
    </x:row>
    <x:row r="123">
      <x:c r="A123" s="60" t="n">
        <x:v>120</x:v>
      </x:c>
      <x:c r="B123" s="62" t="str">
        <x:v>Malebolace</x:v>
      </x:c>
      <x:c r="C123" s="62" t="str">
        <x:v>Bug</x:v>
      </x:c>
      <x:c r="D123" s="62" t="str">
        <x:v>Poison</x:v>
      </x:c>
      <x:c r="E123" s="60" t="n">
        <x:v>70</x:v>
      </x:c>
      <x:c r="F123" s="60" t="n">
        <x:v>70</x:v>
      </x:c>
      <x:c r="G123" s="60" t="n">
        <x:v>70</x:v>
      </x:c>
      <x:c r="H123" s="60" t="n">
        <x:v>95</x:v>
      </x:c>
      <x:c r="I123" s="60" t="n">
        <x:v>100</x:v>
      </x:c>
      <x:c r="J123" s="60" t="n">
        <x:v>100</x:v>
      </x:c>
      <x:c r="K123" s="60" t="n">
        <x:v>505</x:v>
      </x:c>
      <x:c r="L123" s="64" t="n">
        <x:f>MAX('Growth Rules'!$B$8,ROUND(('Growth Rules'!$B$4+'Growth Rules'!$B$5*($K123-'Growth Rules'!$B$6))*(E123/($K123/6))^'Growth Rules'!$B$7,0))</x:f>
        <x:v>29</x:v>
      </x:c>
      <x:c r="M123" s="64" t="n">
        <x:f>MAX('Growth Rules'!$B$8,ROUND(('Growth Rules'!$B$4+'Growth Rules'!$B$5*($K123-'Growth Rules'!$B$6))*(F123/($K123/6))^'Growth Rules'!$B$7,0))</x:f>
        <x:v>29</x:v>
      </x:c>
      <x:c r="N123" s="64" t="n">
        <x:f>MAX('Growth Rules'!$B$8,ROUND(('Growth Rules'!$B$4+'Growth Rules'!$B$5*($K123-'Growth Rules'!$B$6))*(G123/($K123/6))^'Growth Rules'!$B$7,0))</x:f>
        <x:v>29</x:v>
      </x:c>
      <x:c r="O123" s="64" t="n">
        <x:f>MAX('Growth Rules'!$B$8,ROUND(('Growth Rules'!$B$4+'Growth Rules'!$B$5*($K123-'Growth Rules'!$B$6))*(H123/($K123/6))^'Growth Rules'!$B$7,0))</x:f>
        <x:v>58</x:v>
      </x:c>
      <x:c r="P123" s="64" t="n">
        <x:f>MAX('Growth Rules'!$B$8,ROUND(('Growth Rules'!$B$4+'Growth Rules'!$B$5*($K123-'Growth Rules'!$B$6))*(I123/($K123/6))^'Growth Rules'!$B$7,0))</x:f>
        <x:v>65</x:v>
      </x:c>
      <x:c r="Q123" s="64" t="n">
        <x:f>MAX('Growth Rules'!$B$8,ROUND(('Growth Rules'!$B$4+'Growth Rules'!$B$5*($K123-'Growth Rules'!$B$6))*(J123/($K123/6))^'Growth Rules'!$B$7,0))</x:f>
        <x:v>65</x:v>
      </x:c>
      <x:c r="R123" s="66" t="n">
        <x:f>SUM(L123:Q123)/100</x:f>
        <x:v>2.75</x:v>
      </x:c>
      <x:c r="S123" s="62" t="str"/>
      <x:c r="T123" s="62" t="str"/>
      <x:c r="U123" s="62" t="str"/>
      <x:c r="V123" s="62" t="str"/>
      <x:c r="W123" s="62" t="str"/>
      <x:c r="X123" s="62" t="str"/>
      <x:c r="Y123" s="62" t="str">
        <x:v>Regional_Dex_Stats_and_Abilities_COMPLETE_v2.xlsx + Regional_Dex_Progression_Learnsets_v3.xlsx</x:v>
      </x:c>
    </x:row>
    <x:row r="124">
      <x:c r="A124" s="60" t="n">
        <x:v>121</x:v>
      </x:c>
      <x:c r="B124" s="62" t="str">
        <x:v>Kincoil</x:v>
      </x:c>
      <x:c r="C124" s="62" t="str">
        <x:v>Ice</x:v>
      </x:c>
      <x:c r="D124" s="62" t="str"/>
      <x:c r="E124" s="60" t="n">
        <x:v>55</x:v>
      </x:c>
      <x:c r="F124" s="60" t="n">
        <x:v>55</x:v>
      </x:c>
      <x:c r="G124" s="60" t="n">
        <x:v>70</x:v>
      </x:c>
      <x:c r="H124" s="60" t="n">
        <x:v>35</x:v>
      </x:c>
      <x:c r="I124" s="60" t="n">
        <x:v>60</x:v>
      </x:c>
      <x:c r="J124" s="60" t="n">
        <x:v>35</x:v>
      </x:c>
      <x:c r="K124" s="60" t="n">
        <x:v>310</x:v>
      </x:c>
      <x:c r="L124" s="64" t="n">
        <x:f>MAX('Growth Rules'!$B$8,ROUND(('Growth Rules'!$B$4+'Growth Rules'!$B$5*($K124-'Growth Rules'!$B$6))*(E124/($K124/6))^'Growth Rules'!$B$7,0))</x:f>
        <x:v>38</x:v>
      </x:c>
      <x:c r="M124" s="64" t="n">
        <x:f>MAX('Growth Rules'!$B$8,ROUND(('Growth Rules'!$B$4+'Growth Rules'!$B$5*($K124-'Growth Rules'!$B$6))*(F124/($K124/6))^'Growth Rules'!$B$7,0))</x:f>
        <x:v>38</x:v>
      </x:c>
      <x:c r="N124" s="64" t="n">
        <x:f>MAX('Growth Rules'!$B$8,ROUND(('Growth Rules'!$B$4+'Growth Rules'!$B$5*($K124-'Growth Rules'!$B$6))*(G124/($K124/6))^'Growth Rules'!$B$7,0))</x:f>
        <x:v>65</x:v>
      </x:c>
      <x:c r="O124" s="64" t="n">
        <x:f>MAX('Growth Rules'!$B$8,ROUND(('Growth Rules'!$B$4+'Growth Rules'!$B$5*($K124-'Growth Rules'!$B$6))*(H124/($K124/6))^'Growth Rules'!$B$7,0))</x:f>
        <x:v>14</x:v>
      </x:c>
      <x:c r="P124" s="64" t="n">
        <x:f>MAX('Growth Rules'!$B$8,ROUND(('Growth Rules'!$B$4+'Growth Rules'!$B$5*($K124-'Growth Rules'!$B$6))*(I124/($K124/6))^'Growth Rules'!$B$7,0))</x:f>
        <x:v>46</x:v>
      </x:c>
      <x:c r="Q124" s="64" t="n">
        <x:f>MAX('Growth Rules'!$B$8,ROUND(('Growth Rules'!$B$4+'Growth Rules'!$B$5*($K124-'Growth Rules'!$B$6))*(J124/($K124/6))^'Growth Rules'!$B$7,0))</x:f>
        <x:v>14</x:v>
      </x:c>
      <x:c r="R124" s="66" t="n">
        <x:f>SUM(L124:Q124)/100</x:f>
        <x:v>2.15</x:v>
      </x:c>
      <x:c r="S124" s="62" t="str">
        <x:v>Pactolin</x:v>
      </x:c>
      <x:c r="T124" s="62" t="str">
        <x:v>LEVEL</x:v>
      </x:c>
      <x:c r="U124" s="62" t="str">
        <x:v>28</x:v>
      </x:c>
      <x:c r="V124" s="62" t="str"/>
      <x:c r="W124" s="62" t="str">
        <x:v>28</x:v>
      </x:c>
      <x:c r="X124" s="62" t="str">
        <x:v>KEEP EXISTING / VALIDATED</x:v>
      </x:c>
      <x:c r="Y124" s="62" t="str">
        <x:v>Regional_Dex_Stats_and_Abilities_COMPLETE_v2.xlsx + Regional_Dex_Progression_Learnsets_v3.xlsx</x:v>
      </x:c>
    </x:row>
    <x:row r="125">
      <x:c r="A125" s="60" t="n">
        <x:v>122</x:v>
      </x:c>
      <x:c r="B125" s="62" t="str">
        <x:v>Pactolin</x:v>
      </x:c>
      <x:c r="C125" s="62" t="str">
        <x:v>Ice</x:v>
      </x:c>
      <x:c r="D125" s="62" t="str"/>
      <x:c r="E125" s="60" t="n">
        <x:v>85</x:v>
      </x:c>
      <x:c r="F125" s="60" t="n">
        <x:v>75</x:v>
      </x:c>
      <x:c r="G125" s="60" t="n">
        <x:v>85</x:v>
      </x:c>
      <x:c r="H125" s="60" t="n">
        <x:v>40</x:v>
      </x:c>
      <x:c r="I125" s="60" t="n">
        <x:v>85</x:v>
      </x:c>
      <x:c r="J125" s="60" t="n">
        <x:v>50</x:v>
      </x:c>
      <x:c r="K125" s="60" t="n">
        <x:v>420</x:v>
      </x:c>
      <x:c r="L125" s="64" t="n">
        <x:f>MAX('Growth Rules'!$B$8,ROUND(('Growth Rules'!$B$4+'Growth Rules'!$B$5*($K125-'Growth Rules'!$B$6))*(E125/($K125/6))^'Growth Rules'!$B$7,0))</x:f>
        <x:v>61</x:v>
      </x:c>
      <x:c r="M125" s="64" t="n">
        <x:f>MAX('Growth Rules'!$B$8,ROUND(('Growth Rules'!$B$4+'Growth Rules'!$B$5*($K125-'Growth Rules'!$B$6))*(F125/($K125/6))^'Growth Rules'!$B$7,0))</x:f>
        <x:v>46</x:v>
      </x:c>
      <x:c r="N125" s="64" t="n">
        <x:f>MAX('Growth Rules'!$B$8,ROUND(('Growth Rules'!$B$4+'Growth Rules'!$B$5*($K125-'Growth Rules'!$B$6))*(G125/($K125/6))^'Growth Rules'!$B$7,0))</x:f>
        <x:v>61</x:v>
      </x:c>
      <x:c r="O125" s="64" t="n">
        <x:f>MAX('Growth Rules'!$B$8,ROUND(('Growth Rules'!$B$4+'Growth Rules'!$B$5*($K125-'Growth Rules'!$B$6))*(H125/($K125/6))^'Growth Rules'!$B$7,0))</x:f>
        <x:v>11</x:v>
      </x:c>
      <x:c r="P125" s="64" t="n">
        <x:f>MAX('Growth Rules'!$B$8,ROUND(('Growth Rules'!$B$4+'Growth Rules'!$B$5*($K125-'Growth Rules'!$B$6))*(I125/($K125/6))^'Growth Rules'!$B$7,0))</x:f>
        <x:v>61</x:v>
      </x:c>
      <x:c r="Q125" s="64" t="n">
        <x:f>MAX('Growth Rules'!$B$8,ROUND(('Growth Rules'!$B$4+'Growth Rules'!$B$5*($K125-'Growth Rules'!$B$6))*(J125/($K125/6))^'Growth Rules'!$B$7,0))</x:f>
        <x:v>18</x:v>
      </x:c>
      <x:c r="R125" s="66" t="n">
        <x:f>SUM(L125:Q125)/100</x:f>
        <x:v>2.58</x:v>
      </x:c>
      <x:c r="S125" s="62" t="str">
        <x:v>Cocytalon</x:v>
      </x:c>
      <x:c r="T125" s="62" t="str">
        <x:v>LEVEL</x:v>
      </x:c>
      <x:c r="U125" s="62" t="str">
        <x:v>45</x:v>
      </x:c>
      <x:c r="V125" s="62" t="str"/>
      <x:c r="W125" s="62" t="str">
        <x:v>45</x:v>
      </x:c>
      <x:c r="X125" s="62" t="str">
        <x:v>KEEP EXISTING / VALIDATED</x:v>
      </x:c>
      <x:c r="Y125" s="62" t="str">
        <x:v>Regional_Dex_Stats_and_Abilities_COMPLETE_v2.xlsx + Regional_Dex_Progression_Learnsets_v3.xlsx</x:v>
      </x:c>
    </x:row>
    <x:row r="126">
      <x:c r="A126" s="60" t="n">
        <x:v>123</x:v>
      </x:c>
      <x:c r="B126" s="62" t="str">
        <x:v>Cocytalon</x:v>
      </x:c>
      <x:c r="C126" s="62" t="str">
        <x:v>Ice</x:v>
      </x:c>
      <x:c r="D126" s="62" t="str">
        <x:v>Dragon</x:v>
      </x:c>
      <x:c r="E126" s="60" t="n">
        <x:v>100</x:v>
      </x:c>
      <x:c r="F126" s="60" t="n">
        <x:v>125</x:v>
      </x:c>
      <x:c r="G126" s="60" t="n">
        <x:v>125</x:v>
      </x:c>
      <x:c r="H126" s="60" t="n">
        <x:v>50</x:v>
      </x:c>
      <x:c r="I126" s="60" t="n">
        <x:v>100</x:v>
      </x:c>
      <x:c r="J126" s="60" t="n">
        <x:v>50</x:v>
      </x:c>
      <x:c r="K126" s="60" t="n">
        <x:v>550</x:v>
      </x:c>
      <x:c r="L126" s="64" t="n">
        <x:f>MAX('Growth Rules'!$B$8,ROUND(('Growth Rules'!$B$4+'Growth Rules'!$B$5*($K126-'Growth Rules'!$B$6))*(E126/($K126/6))^'Growth Rules'!$B$7,0))</x:f>
        <x:v>57</x:v>
      </x:c>
      <x:c r="M126" s="64" t="n">
        <x:f>MAX('Growth Rules'!$B$8,ROUND(('Growth Rules'!$B$4+'Growth Rules'!$B$5*($K126-'Growth Rules'!$B$6))*(F126/($K126/6))^'Growth Rules'!$B$7,0))</x:f>
        <x:v>94</x:v>
      </x:c>
      <x:c r="N126" s="64" t="n">
        <x:f>MAX('Growth Rules'!$B$8,ROUND(('Growth Rules'!$B$4+'Growth Rules'!$B$5*($K126-'Growth Rules'!$B$6))*(G126/($K126/6))^'Growth Rules'!$B$7,0))</x:f>
        <x:v>94</x:v>
      </x:c>
      <x:c r="O126" s="64" t="n">
        <x:f>MAX('Growth Rules'!$B$8,ROUND(('Growth Rules'!$B$4+'Growth Rules'!$B$5*($K126-'Growth Rules'!$B$6))*(H126/($K126/6))^'Growth Rules'!$B$7,0))</x:f>
        <x:v>12</x:v>
      </x:c>
      <x:c r="P126" s="64" t="n">
        <x:f>MAX('Growth Rules'!$B$8,ROUND(('Growth Rules'!$B$4+'Growth Rules'!$B$5*($K126-'Growth Rules'!$B$6))*(I126/($K126/6))^'Growth Rules'!$B$7,0))</x:f>
        <x:v>57</x:v>
      </x:c>
      <x:c r="Q126" s="64" t="n">
        <x:f>MAX('Growth Rules'!$B$8,ROUND(('Growth Rules'!$B$4+'Growth Rules'!$B$5*($K126-'Growth Rules'!$B$6))*(J126/($K126/6))^'Growth Rules'!$B$7,0))</x:f>
        <x:v>12</x:v>
      </x:c>
      <x:c r="R126" s="66" t="n">
        <x:f>SUM(L126:Q126)/100</x:f>
        <x:v>3.26</x:v>
      </x:c>
      <x:c r="S126" s="62" t="str"/>
      <x:c r="T126" s="62" t="str"/>
      <x:c r="U126" s="62" t="str"/>
      <x:c r="V126" s="62" t="str"/>
      <x:c r="W126" s="62" t="str"/>
      <x:c r="X126" s="62" t="str"/>
      <x:c r="Y126" s="62" t="str">
        <x:v>Regional_Dex_Stats_and_Abilities_COMPLETE_v2.xlsx + Regional_Dex_Progression_Learnsets_v3.xlsx</x:v>
      </x:c>
    </x:row>
    <x:row r="127">
      <x:c r="A127" s="60" t="n">
        <x:v>124</x:v>
      </x:c>
      <x:c r="B127" s="62" t="str">
        <x:v>Hexamuse</x:v>
      </x:c>
      <x:c r="C127" s="62" t="str">
        <x:v>Normal</x:v>
      </x:c>
      <x:c r="D127" s="62" t="str">
        <x:v>Ghost</x:v>
      </x:c>
      <x:c r="E127" s="60" t="n">
        <x:v>75</x:v>
      </x:c>
      <x:c r="F127" s="60" t="n">
        <x:v>50</x:v>
      </x:c>
      <x:c r="G127" s="60" t="n">
        <x:v>75</x:v>
      </x:c>
      <x:c r="H127" s="60" t="n">
        <x:v>85</x:v>
      </x:c>
      <x:c r="I127" s="60" t="n">
        <x:v>100</x:v>
      </x:c>
      <x:c r="J127" s="60" t="n">
        <x:v>85</x:v>
      </x:c>
      <x:c r="K127" s="60" t="n">
        <x:v>470</x:v>
      </x:c>
      <x:c r="L127" s="64" t="n">
        <x:f>MAX('Growth Rules'!$B$8,ROUND(('Growth Rules'!$B$4+'Growth Rules'!$B$5*($K127-'Growth Rules'!$B$6))*(E127/($K127/6))^'Growth Rules'!$B$7,0))</x:f>
        <x:v>38</x:v>
      </x:c>
      <x:c r="M127" s="64" t="n">
        <x:f>MAX('Growth Rules'!$B$8,ROUND(('Growth Rules'!$B$4+'Growth Rules'!$B$5*($K127-'Growth Rules'!$B$6))*(F127/($K127/6))^'Growth Rules'!$B$7,0))</x:f>
        <x:v>15</x:v>
      </x:c>
      <x:c r="N127" s="64" t="n">
        <x:f>MAX('Growth Rules'!$B$8,ROUND(('Growth Rules'!$B$4+'Growth Rules'!$B$5*($K127-'Growth Rules'!$B$6))*(G127/($K127/6))^'Growth Rules'!$B$7,0))</x:f>
        <x:v>38</x:v>
      </x:c>
      <x:c r="O127" s="64" t="n">
        <x:f>MAX('Growth Rules'!$B$8,ROUND(('Growth Rules'!$B$4+'Growth Rules'!$B$5*($K127-'Growth Rules'!$B$6))*(H127/($K127/6))^'Growth Rules'!$B$7,0))</x:f>
        <x:v>51</x:v>
      </x:c>
      <x:c r="P127" s="64" t="n">
        <x:f>MAX('Growth Rules'!$B$8,ROUND(('Growth Rules'!$B$4+'Growth Rules'!$B$5*($K127-'Growth Rules'!$B$6))*(I127/($K127/6))^'Growth Rules'!$B$7,0))</x:f>
        <x:v>73</x:v>
      </x:c>
      <x:c r="Q127" s="64" t="n">
        <x:f>MAX('Growth Rules'!$B$8,ROUND(('Growth Rules'!$B$4+'Growth Rules'!$B$5*($K127-'Growth Rules'!$B$6))*(J127/($K127/6))^'Growth Rules'!$B$7,0))</x:f>
        <x:v>51</x:v>
      </x:c>
      <x:c r="R127" s="66" t="n">
        <x:f>SUM(L127:Q127)/100</x:f>
        <x:v>2.66</x:v>
      </x:c>
      <x:c r="S127" s="62" t="str"/>
      <x:c r="T127" s="62" t="str"/>
      <x:c r="U127" s="62" t="str"/>
      <x:c r="V127" s="62" t="str"/>
      <x:c r="W127" s="62" t="str"/>
      <x:c r="X127" s="62" t="str"/>
      <x:c r="Y127" s="62" t="str">
        <x:v>Regional_Dex_Stats_and_Abilities_COMPLETE_v2.xlsx + Regional_Dex_Progression_Learnsets_v3.xlsx</x:v>
      </x:c>
    </x:row>
    <x:row r="128">
      <x:c r="A128" s="60" t="n">
        <x:v>125</x:v>
      </x:c>
      <x:c r="B128" s="62" t="str">
        <x:v>Scarabel</x:v>
      </x:c>
      <x:c r="C128" s="62" t="str">
        <x:v>Bug</x:v>
      </x:c>
      <x:c r="D128" s="62" t="str"/>
      <x:c r="E128" s="60" t="n">
        <x:v>50</x:v>
      </x:c>
      <x:c r="F128" s="60" t="n">
        <x:v>60</x:v>
      </x:c>
      <x:c r="G128" s="60" t="n">
        <x:v>70</x:v>
      </x:c>
      <x:c r="H128" s="60" t="n">
        <x:v>35</x:v>
      </x:c>
      <x:c r="I128" s="60" t="n">
        <x:v>50</x:v>
      </x:c>
      <x:c r="J128" s="60" t="n">
        <x:v>40</x:v>
      </x:c>
      <x:c r="K128" s="60" t="n">
        <x:v>305</x:v>
      </x:c>
      <x:c r="L128" s="64" t="n">
        <x:f>MAX('Growth Rules'!$B$8,ROUND(('Growth Rules'!$B$4+'Growth Rules'!$B$5*($K128-'Growth Rules'!$B$6))*(E128/($K128/6))^'Growth Rules'!$B$7,0))</x:f>
        <x:v>31</x:v>
      </x:c>
      <x:c r="M128" s="64" t="n">
        <x:f>MAX('Growth Rules'!$B$8,ROUND(('Growth Rules'!$B$4+'Growth Rules'!$B$5*($K128-'Growth Rules'!$B$6))*(F128/($K128/6))^'Growth Rules'!$B$7,0))</x:f>
        <x:v>47</x:v>
      </x:c>
      <x:c r="N128" s="64" t="n">
        <x:f>MAX('Growth Rules'!$B$8,ROUND(('Growth Rules'!$B$4+'Growth Rules'!$B$5*($K128-'Growth Rules'!$B$6))*(G128/($K128/6))^'Growth Rules'!$B$7,0))</x:f>
        <x:v>66</x:v>
      </x:c>
      <x:c r="O128" s="64" t="n">
        <x:f>MAX('Growth Rules'!$B$8,ROUND(('Growth Rules'!$B$4+'Growth Rules'!$B$5*($K128-'Growth Rules'!$B$6))*(H128/($K128/6))^'Growth Rules'!$B$7,0))</x:f>
        <x:v>14</x:v>
      </x:c>
      <x:c r="P128" s="64" t="n">
        <x:f>MAX('Growth Rules'!$B$8,ROUND(('Growth Rules'!$B$4+'Growth Rules'!$B$5*($K128-'Growth Rules'!$B$6))*(I128/($K128/6))^'Growth Rules'!$B$7,0))</x:f>
        <x:v>31</x:v>
      </x:c>
      <x:c r="Q128" s="64" t="n">
        <x:f>MAX('Growth Rules'!$B$8,ROUND(('Growth Rules'!$B$4+'Growth Rules'!$B$5*($K128-'Growth Rules'!$B$6))*(J128/($K128/6))^'Growth Rules'!$B$7,0))</x:f>
        <x:v>19</x:v>
      </x:c>
      <x:c r="R128" s="66" t="n">
        <x:f>SUM(L128:Q128)/100</x:f>
        <x:v>2.08</x:v>
      </x:c>
      <x:c r="S128" s="62" t="str">
        <x:v>Bulwarkab</x:v>
      </x:c>
      <x:c r="T128" s="62" t="str">
        <x:v>LEVEL</x:v>
      </x:c>
      <x:c r="U128" s="62" t="str">
        <x:v>26</x:v>
      </x:c>
      <x:c r="V128" s="62" t="str"/>
      <x:c r="W128" s="62" t="str">
        <x:v>26</x:v>
      </x:c>
      <x:c r="X128" s="62" t="str">
        <x:v>KEEP EXISTING / VALIDATED</x:v>
      </x:c>
      <x:c r="Y128" s="62" t="str">
        <x:v>Regional_Dex_Stats_and_Abilities_COMPLETE_v2.xlsx + Regional_Dex_Progression_Learnsets_v3.xlsx</x:v>
      </x:c>
    </x:row>
    <x:row r="129">
      <x:c r="A129" s="60" t="n">
        <x:v>126</x:v>
      </x:c>
      <x:c r="B129" s="62" t="str">
        <x:v>Bulwarkab</x:v>
      </x:c>
      <x:c r="C129" s="62" t="str">
        <x:v>Bug</x:v>
      </x:c>
      <x:c r="D129" s="62" t="str">
        <x:v>Steel</x:v>
      </x:c>
      <x:c r="E129" s="60" t="n">
        <x:v>100</x:v>
      </x:c>
      <x:c r="F129" s="60" t="n">
        <x:v>100</x:v>
      </x:c>
      <x:c r="G129" s="60" t="n">
        <x:v>125</x:v>
      </x:c>
      <x:c r="H129" s="60" t="n">
        <x:v>45</x:v>
      </x:c>
      <x:c r="I129" s="60" t="n">
        <x:v>100</x:v>
      </x:c>
      <x:c r="J129" s="60" t="n">
        <x:v>35</x:v>
      </x:c>
      <x:c r="K129" s="60" t="n">
        <x:v>505</x:v>
      </x:c>
      <x:c r="L129" s="64" t="n">
        <x:f>MAX('Growth Rules'!$B$8,ROUND(('Growth Rules'!$B$4+'Growth Rules'!$B$5*($K129-'Growth Rules'!$B$6))*(E129/($K129/6))^'Growth Rules'!$B$7,0))</x:f>
        <x:v>65</x:v>
      </x:c>
      <x:c r="M129" s="64" t="n">
        <x:f>MAX('Growth Rules'!$B$8,ROUND(('Growth Rules'!$B$4+'Growth Rules'!$B$5*($K129-'Growth Rules'!$B$6))*(F129/($K129/6))^'Growth Rules'!$B$7,0))</x:f>
        <x:v>65</x:v>
      </x:c>
      <x:c r="N129" s="64" t="n">
        <x:f>MAX('Growth Rules'!$B$8,ROUND(('Growth Rules'!$B$4+'Growth Rules'!$B$5*($K129-'Growth Rules'!$B$6))*(G129/($K129/6))^'Growth Rules'!$B$7,0))</x:f>
        <x:v>108</x:v>
      </x:c>
      <x:c r="O129" s="64" t="n">
        <x:f>MAX('Growth Rules'!$B$8,ROUND(('Growth Rules'!$B$4+'Growth Rules'!$B$5*($K129-'Growth Rules'!$B$6))*(H129/($K129/6))^'Growth Rules'!$B$7,0))</x:f>
        <x:v>11</x:v>
      </x:c>
      <x:c r="P129" s="64" t="n">
        <x:f>MAX('Growth Rules'!$B$8,ROUND(('Growth Rules'!$B$4+'Growth Rules'!$B$5*($K129-'Growth Rules'!$B$6))*(I129/($K129/6))^'Growth Rules'!$B$7,0))</x:f>
        <x:v>65</x:v>
      </x:c>
      <x:c r="Q129" s="64" t="n">
        <x:f>MAX('Growth Rules'!$B$8,ROUND(('Growth Rules'!$B$4+'Growth Rules'!$B$5*($K129-'Growth Rules'!$B$6))*(J129/($K129/6))^'Growth Rules'!$B$7,0))</x:f>
        <x:v>10</x:v>
      </x:c>
      <x:c r="R129" s="66" t="n">
        <x:f>SUM(L129:Q129)/100</x:f>
        <x:v>3.24</x:v>
      </x:c>
      <x:c r="S129" s="62" t="str"/>
      <x:c r="T129" s="62" t="str"/>
      <x:c r="U129" s="62" t="str"/>
      <x:c r="V129" s="62" t="str"/>
      <x:c r="W129" s="62" t="str"/>
      <x:c r="X129" s="62" t="str"/>
      <x:c r="Y129" s="62" t="str">
        <x:v>Regional_Dex_Stats_and_Abilities_COMPLETE_v2.xlsx + Regional_Dex_Progression_Learnsets_v3.xlsx</x:v>
      </x:c>
    </x:row>
    <x:row r="130">
      <x:c r="A130" s="60" t="n">
        <x:v>127</x:v>
      </x:c>
      <x:c r="B130" s="62" t="str">
        <x:v>Mortargek</x:v>
      </x:c>
      <x:c r="C130" s="62" t="str">
        <x:v>Rock</x:v>
      </x:c>
      <x:c r="D130" s="62" t="str"/>
      <x:c r="E130" s="60" t="n">
        <x:v>40</x:v>
      </x:c>
      <x:c r="F130" s="60" t="n">
        <x:v>45</x:v>
      </x:c>
      <x:c r="G130" s="60" t="n">
        <x:v>45</x:v>
      </x:c>
      <x:c r="H130" s="60" t="n">
        <x:v>50</x:v>
      </x:c>
      <x:c r="I130" s="60" t="n">
        <x:v>50</x:v>
      </x:c>
      <x:c r="J130" s="60" t="n">
        <x:v>65</x:v>
      </x:c>
      <x:c r="K130" s="60" t="n">
        <x:v>295</x:v>
      </x:c>
      <x:c r="L130" s="64" t="n">
        <x:f>MAX('Growth Rules'!$B$8,ROUND(('Growth Rules'!$B$4+'Growth Rules'!$B$5*($K130-'Growth Rules'!$B$6))*(E130/($K130/6))^'Growth Rules'!$B$7,0))</x:f>
        <x:v>20</x:v>
      </x:c>
      <x:c r="M130" s="64" t="n">
        <x:f>MAX('Growth Rules'!$B$8,ROUND(('Growth Rules'!$B$4+'Growth Rules'!$B$5*($K130-'Growth Rules'!$B$6))*(F130/($K130/6))^'Growth Rules'!$B$7,0))</x:f>
        <x:v>26</x:v>
      </x:c>
      <x:c r="N130" s="64" t="n">
        <x:f>MAX('Growth Rules'!$B$8,ROUND(('Growth Rules'!$B$4+'Growth Rules'!$B$5*($K130-'Growth Rules'!$B$6))*(G130/($K130/6))^'Growth Rules'!$B$7,0))</x:f>
        <x:v>26</x:v>
      </x:c>
      <x:c r="O130" s="64" t="n">
        <x:f>MAX('Growth Rules'!$B$8,ROUND(('Growth Rules'!$B$4+'Growth Rules'!$B$5*($K130-'Growth Rules'!$B$6))*(H130/($K130/6))^'Growth Rules'!$B$7,0))</x:f>
        <x:v>33</x:v>
      </x:c>
      <x:c r="P130" s="64" t="n">
        <x:f>MAX('Growth Rules'!$B$8,ROUND(('Growth Rules'!$B$4+'Growth Rules'!$B$5*($K130-'Growth Rules'!$B$6))*(I130/($K130/6))^'Growth Rules'!$B$7,0))</x:f>
        <x:v>33</x:v>
      </x:c>
      <x:c r="Q130" s="64" t="n">
        <x:f>MAX('Growth Rules'!$B$8,ROUND(('Growth Rules'!$B$4+'Growth Rules'!$B$5*($K130-'Growth Rules'!$B$6))*(J130/($K130/6))^'Growth Rules'!$B$7,0))</x:f>
        <x:v>59</x:v>
      </x:c>
      <x:c r="R130" s="66" t="n">
        <x:f>SUM(L130:Q130)/100</x:f>
        <x:v>1.97</x:v>
      </x:c>
      <x:c r="S130" s="62" t="str">
        <x:v>Sallyskink</x:v>
      </x:c>
      <x:c r="T130" s="62" t="str">
        <x:v>LEVEL</x:v>
      </x:c>
      <x:c r="U130" s="62" t="str">
        <x:v>26</x:v>
      </x:c>
      <x:c r="V130" s="62" t="str"/>
      <x:c r="W130" s="62" t="str">
        <x:v>26</x:v>
      </x:c>
      <x:c r="X130" s="62" t="str">
        <x:v>KEEP EXISTING / VALIDATED</x:v>
      </x:c>
      <x:c r="Y130" s="62" t="str">
        <x:v>Regional_Dex_Stats_and_Abilities_COMPLETE_v2.xlsx + Regional_Dex_Progression_Learnsets_v3.xlsx</x:v>
      </x:c>
    </x:row>
    <x:row r="131">
      <x:c r="A131" s="60" t="n">
        <x:v>128</x:v>
      </x:c>
      <x:c r="B131" s="62" t="str">
        <x:v>Sallyskink</x:v>
      </x:c>
      <x:c r="C131" s="62" t="str">
        <x:v>Rock</x:v>
      </x:c>
      <x:c r="D131" s="62" t="str">
        <x:v>Poison</x:v>
      </x:c>
      <x:c r="E131" s="60" t="n">
        <x:v>70</x:v>
      </x:c>
      <x:c r="F131" s="60" t="n">
        <x:v>85</x:v>
      </x:c>
      <x:c r="G131" s="60" t="n">
        <x:v>70</x:v>
      </x:c>
      <x:c r="H131" s="60" t="n">
        <x:v>100</x:v>
      </x:c>
      <x:c r="I131" s="60" t="n">
        <x:v>70</x:v>
      </x:c>
      <x:c r="J131" s="60" t="n">
        <x:v>100</x:v>
      </x:c>
      <x:c r="K131" s="60" t="n">
        <x:v>495</x:v>
      </x:c>
      <x:c r="L131" s="64" t="n">
        <x:f>MAX('Growth Rules'!$B$8,ROUND(('Growth Rules'!$B$4+'Growth Rules'!$B$5*($K131-'Growth Rules'!$B$6))*(E131/($K131/6))^'Growth Rules'!$B$7,0))</x:f>
        <x:v>30</x:v>
      </x:c>
      <x:c r="M131" s="64" t="n">
        <x:f>MAX('Growth Rules'!$B$8,ROUND(('Growth Rules'!$B$4+'Growth Rules'!$B$5*($K131-'Growth Rules'!$B$6))*(F131/($K131/6))^'Growth Rules'!$B$7,0))</x:f>
        <x:v>47</x:v>
      </x:c>
      <x:c r="N131" s="64" t="n">
        <x:f>MAX('Growth Rules'!$B$8,ROUND(('Growth Rules'!$B$4+'Growth Rules'!$B$5*($K131-'Growth Rules'!$B$6))*(G131/($K131/6))^'Growth Rules'!$B$7,0))</x:f>
        <x:v>30</x:v>
      </x:c>
      <x:c r="O131" s="64" t="n">
        <x:f>MAX('Growth Rules'!$B$8,ROUND(('Growth Rules'!$B$4+'Growth Rules'!$B$5*($K131-'Growth Rules'!$B$6))*(H131/($K131/6))^'Growth Rules'!$B$7,0))</x:f>
        <x:v>67</x:v>
      </x:c>
      <x:c r="P131" s="64" t="n">
        <x:f>MAX('Growth Rules'!$B$8,ROUND(('Growth Rules'!$B$4+'Growth Rules'!$B$5*($K131-'Growth Rules'!$B$6))*(I131/($K131/6))^'Growth Rules'!$B$7,0))</x:f>
        <x:v>30</x:v>
      </x:c>
      <x:c r="Q131" s="64" t="n">
        <x:f>MAX('Growth Rules'!$B$8,ROUND(('Growth Rules'!$B$4+'Growth Rules'!$B$5*($K131-'Growth Rules'!$B$6))*(J131/($K131/6))^'Growth Rules'!$B$7,0))</x:f>
        <x:v>67</x:v>
      </x:c>
      <x:c r="R131" s="66" t="n">
        <x:f>SUM(L131:Q131)/100</x:f>
        <x:v>2.71</x:v>
      </x:c>
      <x:c r="S131" s="62" t="str"/>
      <x:c r="T131" s="62" t="str"/>
      <x:c r="U131" s="62" t="str"/>
      <x:c r="V131" s="62" t="str"/>
      <x:c r="W131" s="62" t="str"/>
      <x:c r="X131" s="62" t="str"/>
      <x:c r="Y131" s="62" t="str">
        <x:v>Regional_Dex_Stats_and_Abilities_COMPLETE_v2.xlsx + Regional_Dex_Progression_Learnsets_v3.xlsx</x:v>
      </x:c>
    </x:row>
    <x:row r="132">
      <x:c r="A132" s="60" t="n">
        <x:v>129</x:v>
      </x:c>
      <x:c r="B132" s="62" t="str">
        <x:v>Paxibis</x:v>
      </x:c>
      <x:c r="C132" s="62" t="str">
        <x:v>Flying</x:v>
      </x:c>
      <x:c r="D132" s="62" t="str">
        <x:v>Fairy</x:v>
      </x:c>
      <x:c r="E132" s="60" t="n">
        <x:v>75</x:v>
      </x:c>
      <x:c r="F132" s="60" t="n">
        <x:v>50</x:v>
      </x:c>
      <x:c r="G132" s="60" t="n">
        <x:v>60</x:v>
      </x:c>
      <x:c r="H132" s="60" t="n">
        <x:v>75</x:v>
      </x:c>
      <x:c r="I132" s="60" t="n">
        <x:v>105</x:v>
      </x:c>
      <x:c r="J132" s="60" t="n">
        <x:v>105</x:v>
      </x:c>
      <x:c r="K132" s="60" t="n">
        <x:v>470</x:v>
      </x:c>
      <x:c r="L132" s="64" t="n">
        <x:f>MAX('Growth Rules'!$B$8,ROUND(('Growth Rules'!$B$4+'Growth Rules'!$B$5*($K132-'Growth Rules'!$B$6))*(E132/($K132/6))^'Growth Rules'!$B$7,0))</x:f>
        <x:v>38</x:v>
      </x:c>
      <x:c r="M132" s="64" t="n">
        <x:f>MAX('Growth Rules'!$B$8,ROUND(('Growth Rules'!$B$4+'Growth Rules'!$B$5*($K132-'Growth Rules'!$B$6))*(F132/($K132/6))^'Growth Rules'!$B$7,0))</x:f>
        <x:v>15</x:v>
      </x:c>
      <x:c r="N132" s="64" t="n">
        <x:f>MAX('Growth Rules'!$B$8,ROUND(('Growth Rules'!$B$4+'Growth Rules'!$B$5*($K132-'Growth Rules'!$B$6))*(G132/($K132/6))^'Growth Rules'!$B$7,0))</x:f>
        <x:v>23</x:v>
      </x:c>
      <x:c r="O132" s="64" t="n">
        <x:f>MAX('Growth Rules'!$B$8,ROUND(('Growth Rules'!$B$4+'Growth Rules'!$B$5*($K132-'Growth Rules'!$B$6))*(H132/($K132/6))^'Growth Rules'!$B$7,0))</x:f>
        <x:v>38</x:v>
      </x:c>
      <x:c r="P132" s="64" t="n">
        <x:f>MAX('Growth Rules'!$B$8,ROUND(('Growth Rules'!$B$4+'Growth Rules'!$B$5*($K132-'Growth Rules'!$B$6))*(I132/($K132/6))^'Growth Rules'!$B$7,0))</x:f>
        <x:v>82</x:v>
      </x:c>
      <x:c r="Q132" s="64" t="n">
        <x:f>MAX('Growth Rules'!$B$8,ROUND(('Growth Rules'!$B$4+'Growth Rules'!$B$5*($K132-'Growth Rules'!$B$6))*(J132/($K132/6))^'Growth Rules'!$B$7,0))</x:f>
        <x:v>82</x:v>
      </x:c>
      <x:c r="R132" s="66" t="n">
        <x:f>SUM(L132:Q132)/100</x:f>
        <x:v>2.78</x:v>
      </x:c>
      <x:c r="S132" s="62" t="str"/>
      <x:c r="T132" s="62" t="str"/>
      <x:c r="U132" s="62" t="str"/>
      <x:c r="V132" s="62" t="str"/>
      <x:c r="W132" s="62" t="str"/>
      <x:c r="X132" s="62" t="str"/>
      <x:c r="Y132" s="62" t="str">
        <x:v>Regional_Dex_Stats_and_Abilities_COMPLETE_v2.xlsx + Regional_Dex_Progression_Learnsets_v3.xlsx</x:v>
      </x:c>
    </x:row>
    <x:row r="133">
      <x:c r="A133" s="60" t="n">
        <x:v>130</x:v>
      </x:c>
      <x:c r="B133" s="62" t="str">
        <x:v>Veiltern</x:v>
      </x:c>
      <x:c r="C133" s="62" t="str">
        <x:v>Flying</x:v>
      </x:c>
      <x:c r="D133" s="62" t="str"/>
      <x:c r="E133" s="60" t="n">
        <x:v>40</x:v>
      </x:c>
      <x:c r="F133" s="60" t="n">
        <x:v>50</x:v>
      </x:c>
      <x:c r="G133" s="60" t="n">
        <x:v>35</x:v>
      </x:c>
      <x:c r="H133" s="60" t="n">
        <x:v>50</x:v>
      </x:c>
      <x:c r="I133" s="60" t="n">
        <x:v>50</x:v>
      </x:c>
      <x:c r="J133" s="60" t="n">
        <x:v>70</x:v>
      </x:c>
      <x:c r="K133" s="60" t="n">
        <x:v>295</x:v>
      </x:c>
      <x:c r="L133" s="64" t="n">
        <x:f>MAX('Growth Rules'!$B$8,ROUND(('Growth Rules'!$B$4+'Growth Rules'!$B$5*($K133-'Growth Rules'!$B$6))*(E133/($K133/6))^'Growth Rules'!$B$7,0))</x:f>
        <x:v>20</x:v>
      </x:c>
      <x:c r="M133" s="64" t="n">
        <x:f>MAX('Growth Rules'!$B$8,ROUND(('Growth Rules'!$B$4+'Growth Rules'!$B$5*($K133-'Growth Rules'!$B$6))*(F133/($K133/6))^'Growth Rules'!$B$7,0))</x:f>
        <x:v>33</x:v>
      </x:c>
      <x:c r="N133" s="64" t="n">
        <x:f>MAX('Growth Rules'!$B$8,ROUND(('Growth Rules'!$B$4+'Growth Rules'!$B$5*($K133-'Growth Rules'!$B$6))*(G133/($K133/6))^'Growth Rules'!$B$7,0))</x:f>
        <x:v>15</x:v>
      </x:c>
      <x:c r="O133" s="64" t="n">
        <x:f>MAX('Growth Rules'!$B$8,ROUND(('Growth Rules'!$B$4+'Growth Rules'!$B$5*($K133-'Growth Rules'!$B$6))*(H133/($K133/6))^'Growth Rules'!$B$7,0))</x:f>
        <x:v>33</x:v>
      </x:c>
      <x:c r="P133" s="64" t="n">
        <x:f>MAX('Growth Rules'!$B$8,ROUND(('Growth Rules'!$B$4+'Growth Rules'!$B$5*($K133-'Growth Rules'!$B$6))*(I133/($K133/6))^'Growth Rules'!$B$7,0))</x:f>
        <x:v>33</x:v>
      </x:c>
      <x:c r="Q133" s="64" t="n">
        <x:f>MAX('Growth Rules'!$B$8,ROUND(('Growth Rules'!$B$4+'Growth Rules'!$B$5*($K133-'Growth Rules'!$B$6))*(J133/($K133/6))^'Growth Rules'!$B$7,0))</x:f>
        <x:v>70</x:v>
      </x:c>
      <x:c r="R133" s="66" t="n">
        <x:f>SUM(L133:Q133)/100</x:f>
        <x:v>2.04</x:v>
      </x:c>
      <x:c r="S133" s="62" t="str">
        <x:v>Galebrass</x:v>
      </x:c>
      <x:c r="T133" s="62" t="str">
        <x:v>LEVEL</x:v>
      </x:c>
      <x:c r="U133" s="62" t="str">
        <x:v>26</x:v>
      </x:c>
      <x:c r="V133" s="62" t="str"/>
      <x:c r="W133" s="62" t="str">
        <x:v>26</x:v>
      </x:c>
      <x:c r="X133" s="62" t="str">
        <x:v>KEEP EXISTING / VALIDATED</x:v>
      </x:c>
      <x:c r="Y133" s="62" t="str">
        <x:v>Regional_Dex_Stats_and_Abilities_COMPLETE_v2.xlsx + Regional_Dex_Progression_Learnsets_v3.xlsx</x:v>
      </x:c>
    </x:row>
    <x:row r="134">
      <x:c r="A134" s="60" t="n">
        <x:v>131</x:v>
      </x:c>
      <x:c r="B134" s="62" t="str">
        <x:v>Galebrass</x:v>
      </x:c>
      <x:c r="C134" s="62" t="str">
        <x:v>Flying</x:v>
      </x:c>
      <x:c r="D134" s="62" t="str">
        <x:v>Steel</x:v>
      </x:c>
      <x:c r="E134" s="60" t="n">
        <x:v>95</x:v>
      </x:c>
      <x:c r="F134" s="60" t="n">
        <x:v>80</x:v>
      </x:c>
      <x:c r="G134" s="60" t="n">
        <x:v>70</x:v>
      </x:c>
      <x:c r="H134" s="60" t="n">
        <x:v>70</x:v>
      </x:c>
      <x:c r="I134" s="60" t="n">
        <x:v>90</x:v>
      </x:c>
      <x:c r="J134" s="60" t="n">
        <x:v>95</x:v>
      </x:c>
      <x:c r="K134" s="60" t="n">
        <x:v>500</x:v>
      </x:c>
      <x:c r="L134" s="64" t="n">
        <x:f>MAX('Growth Rules'!$B$8,ROUND(('Growth Rules'!$B$4+'Growth Rules'!$B$5*($K134-'Growth Rules'!$B$6))*(E134/($K134/6))^'Growth Rules'!$B$7,0))</x:f>
        <x:v>59</x:v>
      </x:c>
      <x:c r="M134" s="64" t="n">
        <x:f>MAX('Growth Rules'!$B$8,ROUND(('Growth Rules'!$B$4+'Growth Rules'!$B$5*($K134-'Growth Rules'!$B$6))*(F134/($K134/6))^'Growth Rules'!$B$7,0))</x:f>
        <x:v>40</x:v>
      </x:c>
      <x:c r="N134" s="64" t="n">
        <x:f>MAX('Growth Rules'!$B$8,ROUND(('Growth Rules'!$B$4+'Growth Rules'!$B$5*($K134-'Growth Rules'!$B$6))*(G134/($K134/6))^'Growth Rules'!$B$7,0))</x:f>
        <x:v>30</x:v>
      </x:c>
      <x:c r="O134" s="64" t="n">
        <x:f>MAX('Growth Rules'!$B$8,ROUND(('Growth Rules'!$B$4+'Growth Rules'!$B$5*($K134-'Growth Rules'!$B$6))*(H134/($K134/6))^'Growth Rules'!$B$7,0))</x:f>
        <x:v>30</x:v>
      </x:c>
      <x:c r="P134" s="64" t="n">
        <x:f>MAX('Growth Rules'!$B$8,ROUND(('Growth Rules'!$B$4+'Growth Rules'!$B$5*($K134-'Growth Rules'!$B$6))*(I134/($K134/6))^'Growth Rules'!$B$7,0))</x:f>
        <x:v>52</x:v>
      </x:c>
      <x:c r="Q134" s="64" t="n">
        <x:f>MAX('Growth Rules'!$B$8,ROUND(('Growth Rules'!$B$4+'Growth Rules'!$B$5*($K134-'Growth Rules'!$B$6))*(J134/($K134/6))^'Growth Rules'!$B$7,0))</x:f>
        <x:v>59</x:v>
      </x:c>
      <x:c r="R134" s="66" t="n">
        <x:f>SUM(L134:Q134)/100</x:f>
        <x:v>2.7</x:v>
      </x:c>
      <x:c r="S134" s="62" t="str"/>
      <x:c r="T134" s="62" t="str"/>
      <x:c r="U134" s="62" t="str"/>
      <x:c r="V134" s="62" t="str"/>
      <x:c r="W134" s="62" t="str"/>
      <x:c r="X134" s="62" t="str"/>
      <x:c r="Y134" s="62" t="str">
        <x:v>Regional_Dex_Stats_and_Abilities_COMPLETE_v2.xlsx + Regional_Dex_Progression_Learnsets_v3.xlsx</x:v>
      </x:c>
    </x:row>
    <x:row r="135">
      <x:c r="A135" s="60" t="n">
        <x:v>132</x:v>
      </x:c>
      <x:c r="B135" s="62" t="str">
        <x:v>Trucepoe</x:v>
      </x:c>
      <x:c r="C135" s="62" t="str">
        <x:v>Flying</x:v>
      </x:c>
      <x:c r="D135" s="62" t="str">
        <x:v>Psychic</x:v>
      </x:c>
      <x:c r="E135" s="60" t="n">
        <x:v>70</x:v>
      </x:c>
      <x:c r="F135" s="60" t="n">
        <x:v>60</x:v>
      </x:c>
      <x:c r="G135" s="60" t="n">
        <x:v>70</x:v>
      </x:c>
      <x:c r="H135" s="60" t="n">
        <x:v>100</x:v>
      </x:c>
      <x:c r="I135" s="60" t="n">
        <x:v>100</x:v>
      </x:c>
      <x:c r="J135" s="60" t="n">
        <x:v>100</x:v>
      </x:c>
      <x:c r="K135" s="60" t="n">
        <x:v>500</x:v>
      </x:c>
      <x:c r="L135" s="64" t="n">
        <x:f>MAX('Growth Rules'!$B$8,ROUND(('Growth Rules'!$B$4+'Growth Rules'!$B$5*($K135-'Growth Rules'!$B$6))*(E135/($K135/6))^'Growth Rules'!$B$7,0))</x:f>
        <x:v>30</x:v>
      </x:c>
      <x:c r="M135" s="64" t="n">
        <x:f>MAX('Growth Rules'!$B$8,ROUND(('Growth Rules'!$B$4+'Growth Rules'!$B$5*($K135-'Growth Rules'!$B$6))*(F135/($K135/6))^'Growth Rules'!$B$7,0))</x:f>
        <x:v>21</x:v>
      </x:c>
      <x:c r="N135" s="64" t="n">
        <x:f>MAX('Growth Rules'!$B$8,ROUND(('Growth Rules'!$B$4+'Growth Rules'!$B$5*($K135-'Growth Rules'!$B$6))*(G135/($K135/6))^'Growth Rules'!$B$7,0))</x:f>
        <x:v>30</x:v>
      </x:c>
      <x:c r="O135" s="64" t="n">
        <x:f>MAX('Growth Rules'!$B$8,ROUND(('Growth Rules'!$B$4+'Growth Rules'!$B$5*($K135-'Growth Rules'!$B$6))*(H135/($K135/6))^'Growth Rules'!$B$7,0))</x:f>
        <x:v>66</x:v>
      </x:c>
      <x:c r="P135" s="64" t="n">
        <x:f>MAX('Growth Rules'!$B$8,ROUND(('Growth Rules'!$B$4+'Growth Rules'!$B$5*($K135-'Growth Rules'!$B$6))*(I135/($K135/6))^'Growth Rules'!$B$7,0))</x:f>
        <x:v>66</x:v>
      </x:c>
      <x:c r="Q135" s="64" t="n">
        <x:f>MAX('Growth Rules'!$B$8,ROUND(('Growth Rules'!$B$4+'Growth Rules'!$B$5*($K135-'Growth Rules'!$B$6))*(J135/($K135/6))^'Growth Rules'!$B$7,0))</x:f>
        <x:v>66</x:v>
      </x:c>
      <x:c r="R135" s="66" t="n">
        <x:f>SUM(L135:Q135)/100</x:f>
        <x:v>2.79</x:v>
      </x:c>
      <x:c r="S135" s="62" t="str"/>
      <x:c r="T135" s="62" t="str"/>
      <x:c r="U135" s="62" t="str"/>
      <x:c r="V135" s="62" t="str"/>
      <x:c r="W135" s="62" t="str"/>
      <x:c r="X135" s="62" t="str"/>
      <x:c r="Y135" s="62" t="str">
        <x:v>Regional_Dex_Stats_and_Abilities_COMPLETE_v2.xlsx + Regional_Dex_Progression_Learnsets_v3.xlsx</x:v>
      </x:c>
    </x:row>
    <x:row r="136">
      <x:c r="A136" s="60" t="n">
        <x:v>133</x:v>
      </x:c>
      <x:c r="B136" s="62" t="str">
        <x:v>Wadopot</x:v>
      </x:c>
      <x:c r="C136" s="62" t="str">
        <x:v>Water</x:v>
      </x:c>
      <x:c r="D136" s="62" t="str"/>
      <x:c r="E136" s="60" t="n">
        <x:v>70</x:v>
      </x:c>
      <x:c r="F136" s="60" t="n">
        <x:v>60</x:v>
      </x:c>
      <x:c r="G136" s="60" t="n">
        <x:v>60</x:v>
      </x:c>
      <x:c r="H136" s="60" t="n">
        <x:v>35</x:v>
      </x:c>
      <x:c r="I136" s="60" t="n">
        <x:v>50</x:v>
      </x:c>
      <x:c r="J136" s="60" t="n">
        <x:v>35</x:v>
      </x:c>
      <x:c r="K136" s="60" t="n">
        <x:v>310</x:v>
      </x:c>
      <x:c r="L136" s="64" t="n">
        <x:f>MAX('Growth Rules'!$B$8,ROUND(('Growth Rules'!$B$4+'Growth Rules'!$B$5*($K136-'Growth Rules'!$B$6))*(E136/($K136/6))^'Growth Rules'!$B$7,0))</x:f>
        <x:v>65</x:v>
      </x:c>
      <x:c r="M136" s="64" t="n">
        <x:f>MAX('Growth Rules'!$B$8,ROUND(('Growth Rules'!$B$4+'Growth Rules'!$B$5*($K136-'Growth Rules'!$B$6))*(F136/($K136/6))^'Growth Rules'!$B$7,0))</x:f>
        <x:v>46</x:v>
      </x:c>
      <x:c r="N136" s="64" t="n">
        <x:f>MAX('Growth Rules'!$B$8,ROUND(('Growth Rules'!$B$4+'Growth Rules'!$B$5*($K136-'Growth Rules'!$B$6))*(G136/($K136/6))^'Growth Rules'!$B$7,0))</x:f>
        <x:v>46</x:v>
      </x:c>
      <x:c r="O136" s="64" t="n">
        <x:f>MAX('Growth Rules'!$B$8,ROUND(('Growth Rules'!$B$4+'Growth Rules'!$B$5*($K136-'Growth Rules'!$B$6))*(H136/($K136/6))^'Growth Rules'!$B$7,0))</x:f>
        <x:v>14</x:v>
      </x:c>
      <x:c r="P136" s="64" t="n">
        <x:f>MAX('Growth Rules'!$B$8,ROUND(('Growth Rules'!$B$4+'Growth Rules'!$B$5*($K136-'Growth Rules'!$B$6))*(I136/($K136/6))^'Growth Rules'!$B$7,0))</x:f>
        <x:v>30</x:v>
      </x:c>
      <x:c r="Q136" s="64" t="n">
        <x:f>MAX('Growth Rules'!$B$8,ROUND(('Growth Rules'!$B$4+'Growth Rules'!$B$5*($K136-'Growth Rules'!$B$6))*(J136/($K136/6))^'Growth Rules'!$B$7,0))</x:f>
        <x:v>14</x:v>
      </x:c>
      <x:c r="R136" s="66" t="n">
        <x:f>SUM(L136:Q136)/100</x:f>
        <x:v>2.15</x:v>
      </x:c>
      <x:c r="S136" s="62" t="str">
        <x:v>Fetterpot</x:v>
      </x:c>
      <x:c r="T136" s="62" t="str">
        <x:v>LEVEL</x:v>
      </x:c>
      <x:c r="U136" s="62" t="str">
        <x:v>26</x:v>
      </x:c>
      <x:c r="V136" s="62" t="str"/>
      <x:c r="W136" s="62" t="str">
        <x:v>26</x:v>
      </x:c>
      <x:c r="X136" s="62" t="str">
        <x:v>KEEP EXISTING / VALIDATED</x:v>
      </x:c>
      <x:c r="Y136" s="62" t="str">
        <x:v>Regional_Dex_Stats_and_Abilities_COMPLETE_v2.xlsx + Regional_Dex_Progression_Learnsets_v3.xlsx</x:v>
      </x:c>
    </x:row>
    <x:row r="137">
      <x:c r="A137" s="60" t="n">
        <x:v>134</x:v>
      </x:c>
      <x:c r="B137" s="62" t="str">
        <x:v>Fetterpot</x:v>
      </x:c>
      <x:c r="C137" s="62" t="str">
        <x:v>Water</x:v>
      </x:c>
      <x:c r="D137" s="62" t="str">
        <x:v>Steel</x:v>
      </x:c>
      <x:c r="E137" s="60" t="n">
        <x:v>125</x:v>
      </x:c>
      <x:c r="F137" s="60" t="n">
        <x:v>100</x:v>
      </x:c>
      <x:c r="G137" s="60" t="n">
        <x:v>105</x:v>
      </x:c>
      <x:c r="H137" s="60" t="n">
        <x:v>50</x:v>
      </x:c>
      <x:c r="I137" s="60" t="n">
        <x:v>100</x:v>
      </x:c>
      <x:c r="J137" s="60" t="n">
        <x:v>35</x:v>
      </x:c>
      <x:c r="K137" s="60" t="n">
        <x:v>515</x:v>
      </x:c>
      <x:c r="L137" s="64" t="n">
        <x:f>MAX('Growth Rules'!$B$8,ROUND(('Growth Rules'!$B$4+'Growth Rules'!$B$5*($K137-'Growth Rules'!$B$6))*(E137/($K137/6))^'Growth Rules'!$B$7,0))</x:f>
        <x:v>105</x:v>
      </x:c>
      <x:c r="M137" s="64" t="n">
        <x:f>MAX('Growth Rules'!$B$8,ROUND(('Growth Rules'!$B$4+'Growth Rules'!$B$5*($K137-'Growth Rules'!$B$6))*(F137/($K137/6))^'Growth Rules'!$B$7,0))</x:f>
        <x:v>63</x:v>
      </x:c>
      <x:c r="N137" s="64" t="n">
        <x:f>MAX('Growth Rules'!$B$8,ROUND(('Growth Rules'!$B$4+'Growth Rules'!$B$5*($K137-'Growth Rules'!$B$6))*(G137/($K137/6))^'Growth Rules'!$B$7,0))</x:f>
        <x:v>71</x:v>
      </x:c>
      <x:c r="O137" s="64" t="n">
        <x:f>MAX('Growth Rules'!$B$8,ROUND(('Growth Rules'!$B$4+'Growth Rules'!$B$5*($K137-'Growth Rules'!$B$6))*(H137/($K137/6))^'Growth Rules'!$B$7,0))</x:f>
        <x:v>13</x:v>
      </x:c>
      <x:c r="P137" s="64" t="n">
        <x:f>MAX('Growth Rules'!$B$8,ROUND(('Growth Rules'!$B$4+'Growth Rules'!$B$5*($K137-'Growth Rules'!$B$6))*(I137/($K137/6))^'Growth Rules'!$B$7,0))</x:f>
        <x:v>63</x:v>
      </x:c>
      <x:c r="Q137" s="64" t="n">
        <x:f>MAX('Growth Rules'!$B$8,ROUND(('Growth Rules'!$B$4+'Growth Rules'!$B$5*($K137-'Growth Rules'!$B$6))*(J137/($K137/6))^'Growth Rules'!$B$7,0))</x:f>
        <x:v>10</x:v>
      </x:c>
      <x:c r="R137" s="66" t="n">
        <x:f>SUM(L137:Q137)/100</x:f>
        <x:v>3.25</x:v>
      </x:c>
      <x:c r="S137" s="62" t="str"/>
      <x:c r="T137" s="62" t="str"/>
      <x:c r="U137" s="62" t="str"/>
      <x:c r="V137" s="62" t="str"/>
      <x:c r="W137" s="62" t="str"/>
      <x:c r="X137" s="62" t="str"/>
      <x:c r="Y137" s="62" t="str">
        <x:v>Regional_Dex_Stats_and_Abilities_COMPLETE_v2.xlsx + Regional_Dex_Progression_Learnsets_v3.xlsx</x:v>
      </x:c>
    </x:row>
    <x:row r="138">
      <x:c r="A138" s="60" t="n">
        <x:v>135</x:v>
      </x:c>
      <x:c r="B138" s="62" t="str">
        <x:v>Pearlfrond</x:v>
      </x:c>
      <x:c r="C138" s="62" t="str">
        <x:v>Grass</x:v>
      </x:c>
      <x:c r="D138" s="62" t="str"/>
      <x:c r="E138" s="60" t="n">
        <x:v>50</x:v>
      </x:c>
      <x:c r="F138" s="60" t="n">
        <x:v>35</x:v>
      </x:c>
      <x:c r="G138" s="60" t="n">
        <x:v>50</x:v>
      </x:c>
      <x:c r="H138" s="60" t="n">
        <x:v>60</x:v>
      </x:c>
      <x:c r="I138" s="60" t="n">
        <x:v>70</x:v>
      </x:c>
      <x:c r="J138" s="60" t="n">
        <x:v>35</x:v>
      </x:c>
      <x:c r="K138" s="60" t="n">
        <x:v>300</x:v>
      </x:c>
      <x:c r="L138" s="64" t="n">
        <x:f>MAX('Growth Rules'!$B$8,ROUND(('Growth Rules'!$B$4+'Growth Rules'!$B$5*($K138-'Growth Rules'!$B$6))*(E138/($K138/6))^'Growth Rules'!$B$7,0))</x:f>
        <x:v>32</x:v>
      </x:c>
      <x:c r="M138" s="64" t="n">
        <x:f>MAX('Growth Rules'!$B$8,ROUND(('Growth Rules'!$B$4+'Growth Rules'!$B$5*($K138-'Growth Rules'!$B$6))*(F138/($K138/6))^'Growth Rules'!$B$7,0))</x:f>
        <x:v>14</x:v>
      </x:c>
      <x:c r="N138" s="64" t="n">
        <x:f>MAX('Growth Rules'!$B$8,ROUND(('Growth Rules'!$B$4+'Growth Rules'!$B$5*($K138-'Growth Rules'!$B$6))*(G138/($K138/6))^'Growth Rules'!$B$7,0))</x:f>
        <x:v>32</x:v>
      </x:c>
      <x:c r="O138" s="64" t="n">
        <x:f>MAX('Growth Rules'!$B$8,ROUND(('Growth Rules'!$B$4+'Growth Rules'!$B$5*($K138-'Growth Rules'!$B$6))*(H138/($K138/6))^'Growth Rules'!$B$7,0))</x:f>
        <x:v>48</x:v>
      </x:c>
      <x:c r="P138" s="64" t="n">
        <x:f>MAX('Growth Rules'!$B$8,ROUND(('Growth Rules'!$B$4+'Growth Rules'!$B$5*($K138-'Growth Rules'!$B$6))*(I138/($K138/6))^'Growth Rules'!$B$7,0))</x:f>
        <x:v>68</x:v>
      </x:c>
      <x:c r="Q138" s="64" t="n">
        <x:f>MAX('Growth Rules'!$B$8,ROUND(('Growth Rules'!$B$4+'Growth Rules'!$B$5*($K138-'Growth Rules'!$B$6))*(J138/($K138/6))^'Growth Rules'!$B$7,0))</x:f>
        <x:v>14</x:v>
      </x:c>
      <x:c r="R138" s="66" t="n">
        <x:f>SUM(L138:Q138)/100</x:f>
        <x:v>2.08</x:v>
      </x:c>
      <x:c r="S138" s="62" t="str">
        <x:v>Regnacra</x:v>
      </x:c>
      <x:c r="T138" s="62" t="str">
        <x:v>LEVEL</x:v>
      </x:c>
      <x:c r="U138" s="62" t="str">
        <x:v>26</x:v>
      </x:c>
      <x:c r="V138" s="62" t="str"/>
      <x:c r="W138" s="62" t="str">
        <x:v>26</x:v>
      </x:c>
      <x:c r="X138" s="62" t="str">
        <x:v>KEEP EXISTING / VALIDATED</x:v>
      </x:c>
      <x:c r="Y138" s="62" t="str">
        <x:v>Regional_Dex_Stats_and_Abilities_COMPLETE_v2.xlsx + Regional_Dex_Progression_Learnsets_v3.xlsx</x:v>
      </x:c>
    </x:row>
    <x:row r="139">
      <x:c r="A139" s="60" t="n">
        <x:v>136</x:v>
      </x:c>
      <x:c r="B139" s="62" t="str">
        <x:v>Regnacra</x:v>
      </x:c>
      <x:c r="C139" s="62" t="str">
        <x:v>Grass</x:v>
      </x:c>
      <x:c r="D139" s="62" t="str">
        <x:v>Steel</x:v>
      </x:c>
      <x:c r="E139" s="60" t="n">
        <x:v>95</x:v>
      </x:c>
      <x:c r="F139" s="60" t="n">
        <x:v>70</x:v>
      </x:c>
      <x:c r="G139" s="60" t="n">
        <x:v>95</x:v>
      </x:c>
      <x:c r="H139" s="60" t="n">
        <x:v>95</x:v>
      </x:c>
      <x:c r="I139" s="60" t="n">
        <x:v>120</x:v>
      </x:c>
      <x:c r="J139" s="60" t="n">
        <x:v>35</x:v>
      </x:c>
      <x:c r="K139" s="60" t="n">
        <x:v>510</x:v>
      </x:c>
      <x:c r="L139" s="64" t="n">
        <x:f>MAX('Growth Rules'!$B$8,ROUND(('Growth Rules'!$B$4+'Growth Rules'!$B$5*($K139-'Growth Rules'!$B$6))*(E139/($K139/6))^'Growth Rules'!$B$7,0))</x:f>
        <x:v>57</x:v>
      </x:c>
      <x:c r="M139" s="64" t="n">
        <x:f>MAX('Growth Rules'!$B$8,ROUND(('Growth Rules'!$B$4+'Growth Rules'!$B$5*($K139-'Growth Rules'!$B$6))*(F139/($K139/6))^'Growth Rules'!$B$7,0))</x:f>
        <x:v>29</x:v>
      </x:c>
      <x:c r="N139" s="64" t="n">
        <x:f>MAX('Growth Rules'!$B$8,ROUND(('Growth Rules'!$B$4+'Growth Rules'!$B$5*($K139-'Growth Rules'!$B$6))*(G139/($K139/6))^'Growth Rules'!$B$7,0))</x:f>
        <x:v>57</x:v>
      </x:c>
      <x:c r="O139" s="64" t="n">
        <x:f>MAX('Growth Rules'!$B$8,ROUND(('Growth Rules'!$B$4+'Growth Rules'!$B$5*($K139-'Growth Rules'!$B$6))*(H139/($K139/6))^'Growth Rules'!$B$7,0))</x:f>
        <x:v>57</x:v>
      </x:c>
      <x:c r="P139" s="64" t="n">
        <x:f>MAX('Growth Rules'!$B$8,ROUND(('Growth Rules'!$B$4+'Growth Rules'!$B$5*($K139-'Growth Rules'!$B$6))*(I139/($K139/6))^'Growth Rules'!$B$7,0))</x:f>
        <x:v>97</x:v>
      </x:c>
      <x:c r="Q139" s="64" t="n">
        <x:f>MAX('Growth Rules'!$B$8,ROUND(('Growth Rules'!$B$4+'Growth Rules'!$B$5*($K139-'Growth Rules'!$B$6))*(J139/($K139/6))^'Growth Rules'!$B$7,0))</x:f>
        <x:v>10</x:v>
      </x:c>
      <x:c r="R139" s="66" t="n">
        <x:f>SUM(L139:Q139)/100</x:f>
        <x:v>3.07</x:v>
      </x:c>
      <x:c r="S139" s="62" t="str"/>
      <x:c r="T139" s="62" t="str"/>
      <x:c r="U139" s="62" t="str"/>
      <x:c r="V139" s="62" t="str"/>
      <x:c r="W139" s="62" t="str"/>
      <x:c r="X139" s="62" t="str"/>
      <x:c r="Y139" s="62" t="str">
        <x:v>Regional_Dex_Stats_and_Abilities_COMPLETE_v2.xlsx + Regional_Dex_Progression_Learnsets_v3.xlsx</x:v>
      </x:c>
    </x:row>
    <x:row r="140">
      <x:c r="A140" s="60" t="n">
        <x:v>137</x:v>
      </x:c>
      <x:c r="B140" s="62" t="str">
        <x:v>Skatelk</x:v>
      </x:c>
      <x:c r="C140" s="62" t="str">
        <x:v>Ice</x:v>
      </x:c>
      <x:c r="D140" s="62" t="str"/>
      <x:c r="E140" s="60" t="n">
        <x:v>50</x:v>
      </x:c>
      <x:c r="F140" s="60" t="n">
        <x:v>60</x:v>
      </x:c>
      <x:c r="G140" s="60" t="n">
        <x:v>50</x:v>
      </x:c>
      <x:c r="H140" s="60" t="n">
        <x:v>30</x:v>
      </x:c>
      <x:c r="I140" s="60" t="n">
        <x:v>50</x:v>
      </x:c>
      <x:c r="J140" s="60" t="n">
        <x:v>60</x:v>
      </x:c>
      <x:c r="K140" s="60" t="n">
        <x:v>300</x:v>
      </x:c>
      <x:c r="L140" s="64" t="n">
        <x:f>MAX('Growth Rules'!$B$8,ROUND(('Growth Rules'!$B$4+'Growth Rules'!$B$5*($K140-'Growth Rules'!$B$6))*(E140/($K140/6))^'Growth Rules'!$B$7,0))</x:f>
        <x:v>32</x:v>
      </x:c>
      <x:c r="M140" s="64" t="n">
        <x:f>MAX('Growth Rules'!$B$8,ROUND(('Growth Rules'!$B$4+'Growth Rules'!$B$5*($K140-'Growth Rules'!$B$6))*(F140/($K140/6))^'Growth Rules'!$B$7,0))</x:f>
        <x:v>48</x:v>
      </x:c>
      <x:c r="N140" s="64" t="n">
        <x:f>MAX('Growth Rules'!$B$8,ROUND(('Growth Rules'!$B$4+'Growth Rules'!$B$5*($K140-'Growth Rules'!$B$6))*(G140/($K140/6))^'Growth Rules'!$B$7,0))</x:f>
        <x:v>32</x:v>
      </x:c>
      <x:c r="O140" s="64" t="n">
        <x:f>MAX('Growth Rules'!$B$8,ROUND(('Growth Rules'!$B$4+'Growth Rules'!$B$5*($K140-'Growth Rules'!$B$6))*(H140/($K140/6))^'Growth Rules'!$B$7,0))</x:f>
        <x:v>10</x:v>
      </x:c>
      <x:c r="P140" s="64" t="n">
        <x:f>MAX('Growth Rules'!$B$8,ROUND(('Growth Rules'!$B$4+'Growth Rules'!$B$5*($K140-'Growth Rules'!$B$6))*(I140/($K140/6))^'Growth Rules'!$B$7,0))</x:f>
        <x:v>32</x:v>
      </x:c>
      <x:c r="Q140" s="64" t="n">
        <x:f>MAX('Growth Rules'!$B$8,ROUND(('Growth Rules'!$B$4+'Growth Rules'!$B$5*($K140-'Growth Rules'!$B$6))*(J140/($K140/6))^'Growth Rules'!$B$7,0))</x:f>
        <x:v>48</x:v>
      </x:c>
      <x:c r="R140" s="66" t="n">
        <x:f>SUM(L140:Q140)/100</x:f>
        <x:v>2.02</x:v>
      </x:c>
      <x:c r="S140" s="62" t="str">
        <x:v>Rimehart</x:v>
      </x:c>
      <x:c r="T140" s="62" t="str">
        <x:v>LEVEL</x:v>
      </x:c>
      <x:c r="U140" s="62" t="str">
        <x:v>26</x:v>
      </x:c>
      <x:c r="V140" s="62" t="str"/>
      <x:c r="W140" s="62" t="str">
        <x:v>26</x:v>
      </x:c>
      <x:c r="X140" s="62" t="str">
        <x:v>KEEP EXISTING / VALIDATED</x:v>
      </x:c>
      <x:c r="Y140" s="62" t="str">
        <x:v>Regional_Dex_Stats_and_Abilities_COMPLETE_v2.xlsx + Regional_Dex_Progression_Learnsets_v3.xlsx</x:v>
      </x:c>
    </x:row>
    <x:row r="141">
      <x:c r="A141" s="60" t="n">
        <x:v>138</x:v>
      </x:c>
      <x:c r="B141" s="62" t="str">
        <x:v>Rimehart</x:v>
      </x:c>
      <x:c r="C141" s="62" t="str">
        <x:v>Ice</x:v>
      </x:c>
      <x:c r="D141" s="62" t="str">
        <x:v>Fighting</x:v>
      </x:c>
      <x:c r="E141" s="60" t="n">
        <x:v>100</x:v>
      </x:c>
      <x:c r="F141" s="60" t="n">
        <x:v>100</x:v>
      </x:c>
      <x:c r="G141" s="60" t="n">
        <x:v>85</x:v>
      </x:c>
      <x:c r="H141" s="60" t="n">
        <x:v>45</x:v>
      </x:c>
      <x:c r="I141" s="60" t="n">
        <x:v>75</x:v>
      </x:c>
      <x:c r="J141" s="60" t="n">
        <x:v>100</x:v>
      </x:c>
      <x:c r="K141" s="60" t="n">
        <x:v>505</x:v>
      </x:c>
      <x:c r="L141" s="64" t="n">
        <x:f>MAX('Growth Rules'!$B$8,ROUND(('Growth Rules'!$B$4+'Growth Rules'!$B$5*($K141-'Growth Rules'!$B$6))*(E141/($K141/6))^'Growth Rules'!$B$7,0))</x:f>
        <x:v>65</x:v>
      </x:c>
      <x:c r="M141" s="64" t="n">
        <x:f>MAX('Growth Rules'!$B$8,ROUND(('Growth Rules'!$B$4+'Growth Rules'!$B$5*($K141-'Growth Rules'!$B$6))*(F141/($K141/6))^'Growth Rules'!$B$7,0))</x:f>
        <x:v>65</x:v>
      </x:c>
      <x:c r="N141" s="64" t="n">
        <x:f>MAX('Growth Rules'!$B$8,ROUND(('Growth Rules'!$B$4+'Growth Rules'!$B$5*($K141-'Growth Rules'!$B$6))*(G141/($K141/6))^'Growth Rules'!$B$7,0))</x:f>
        <x:v>45</x:v>
      </x:c>
      <x:c r="O141" s="64" t="n">
        <x:f>MAX('Growth Rules'!$B$8,ROUND(('Growth Rules'!$B$4+'Growth Rules'!$B$5*($K141-'Growth Rules'!$B$6))*(H141/($K141/6))^'Growth Rules'!$B$7,0))</x:f>
        <x:v>11</x:v>
      </x:c>
      <x:c r="P141" s="64" t="n">
        <x:f>MAX('Growth Rules'!$B$8,ROUND(('Growth Rules'!$B$4+'Growth Rules'!$B$5*($K141-'Growth Rules'!$B$6))*(I141/($K141/6))^'Growth Rules'!$B$7,0))</x:f>
        <x:v>34</x:v>
      </x:c>
      <x:c r="Q141" s="64" t="n">
        <x:f>MAX('Growth Rules'!$B$8,ROUND(('Growth Rules'!$B$4+'Growth Rules'!$B$5*($K141-'Growth Rules'!$B$6))*(J141/($K141/6))^'Growth Rules'!$B$7,0))</x:f>
        <x:v>65</x:v>
      </x:c>
      <x:c r="R141" s="66" t="n">
        <x:f>SUM(L141:Q141)/100</x:f>
        <x:v>2.85</x:v>
      </x:c>
      <x:c r="S141" s="62" t="str"/>
      <x:c r="T141" s="62" t="str"/>
      <x:c r="U141" s="62" t="str"/>
      <x:c r="V141" s="62" t="str"/>
      <x:c r="W141" s="62" t="str"/>
      <x:c r="X141" s="62" t="str"/>
      <x:c r="Y141" s="62" t="str">
        <x:v>Regional_Dex_Stats_and_Abilities_COMPLETE_v2.xlsx + Regional_Dex_Progression_Learnsets_v3.xlsx</x:v>
      </x:c>
    </x:row>
    <x:row r="142">
      <x:c r="A142" s="60" t="n">
        <x:v>139</x:v>
      </x:c>
      <x:c r="B142" s="62" t="str">
        <x:v>Reedile</x:v>
      </x:c>
      <x:c r="C142" s="62" t="str">
        <x:v>Water</x:v>
      </x:c>
      <x:c r="D142" s="62" t="str"/>
      <x:c r="E142" s="60" t="n">
        <x:v>60</x:v>
      </x:c>
      <x:c r="F142" s="60" t="n">
        <x:v>50</x:v>
      </x:c>
      <x:c r="G142" s="60" t="n">
        <x:v>65</x:v>
      </x:c>
      <x:c r="H142" s="60" t="n">
        <x:v>40</x:v>
      </x:c>
      <x:c r="I142" s="60" t="n">
        <x:v>50</x:v>
      </x:c>
      <x:c r="J142" s="60" t="n">
        <x:v>40</x:v>
      </x:c>
      <x:c r="K142" s="60" t="n">
        <x:v>305</x:v>
      </x:c>
      <x:c r="L142" s="64" t="n">
        <x:f>MAX('Growth Rules'!$B$8,ROUND(('Growth Rules'!$B$4+'Growth Rules'!$B$5*($K142-'Growth Rules'!$B$6))*(E142/($K142/6))^'Growth Rules'!$B$7,0))</x:f>
        <x:v>47</x:v>
      </x:c>
      <x:c r="M142" s="64" t="n">
        <x:f>MAX('Growth Rules'!$B$8,ROUND(('Growth Rules'!$B$4+'Growth Rules'!$B$5*($K142-'Growth Rules'!$B$6))*(F142/($K142/6))^'Growth Rules'!$B$7,0))</x:f>
        <x:v>31</x:v>
      </x:c>
      <x:c r="N142" s="64" t="n">
        <x:f>MAX('Growth Rules'!$B$8,ROUND(('Growth Rules'!$B$4+'Growth Rules'!$B$5*($K142-'Growth Rules'!$B$6))*(G142/($K142/6))^'Growth Rules'!$B$7,0))</x:f>
        <x:v>56</x:v>
      </x:c>
      <x:c r="O142" s="64" t="n">
        <x:f>MAX('Growth Rules'!$B$8,ROUND(('Growth Rules'!$B$4+'Growth Rules'!$B$5*($K142-'Growth Rules'!$B$6))*(H142/($K142/6))^'Growth Rules'!$B$7,0))</x:f>
        <x:v>19</x:v>
      </x:c>
      <x:c r="P142" s="64" t="n">
        <x:f>MAX('Growth Rules'!$B$8,ROUND(('Growth Rules'!$B$4+'Growth Rules'!$B$5*($K142-'Growth Rules'!$B$6))*(I142/($K142/6))^'Growth Rules'!$B$7,0))</x:f>
        <x:v>31</x:v>
      </x:c>
      <x:c r="Q142" s="64" t="n">
        <x:f>MAX('Growth Rules'!$B$8,ROUND(('Growth Rules'!$B$4+'Growth Rules'!$B$5*($K142-'Growth Rules'!$B$6))*(J142/($K142/6))^'Growth Rules'!$B$7,0))</x:f>
        <x:v>19</x:v>
      </x:c>
      <x:c r="R142" s="66" t="n">
        <x:f>SUM(L142:Q142)/100</x:f>
        <x:v>2.03</x:v>
      </x:c>
      <x:c r="S142" s="62" t="str">
        <x:v>Deltacroc</x:v>
      </x:c>
      <x:c r="T142" s="62" t="str">
        <x:v>LEVEL</x:v>
      </x:c>
      <x:c r="U142" s="62" t="str">
        <x:v>26</x:v>
      </x:c>
      <x:c r="V142" s="62" t="str"/>
      <x:c r="W142" s="62" t="str">
        <x:v>26</x:v>
      </x:c>
      <x:c r="X142" s="62" t="str">
        <x:v>KEEP EXISTING / VALIDATED</x:v>
      </x:c>
      <x:c r="Y142" s="62" t="str">
        <x:v>Regional_Dex_Stats_and_Abilities_COMPLETE_v2.xlsx + Regional_Dex_Progression_Learnsets_v3.xlsx</x:v>
      </x:c>
    </x:row>
    <x:row r="143">
      <x:c r="A143" s="60" t="n">
        <x:v>140</x:v>
      </x:c>
      <x:c r="B143" s="62" t="str">
        <x:v>Deltacroc</x:v>
      </x:c>
      <x:c r="C143" s="62" t="str">
        <x:v>Water</x:v>
      </x:c>
      <x:c r="D143" s="62" t="str">
        <x:v>Grass</x:v>
      </x:c>
      <x:c r="E143" s="60" t="n">
        <x:v>95</x:v>
      </x:c>
      <x:c r="F143" s="60" t="n">
        <x:v>95</x:v>
      </x:c>
      <x:c r="G143" s="60" t="n">
        <x:v>95</x:v>
      </x:c>
      <x:c r="H143" s="60" t="n">
        <x:v>70</x:v>
      </x:c>
      <x:c r="I143" s="60" t="n">
        <x:v>95</x:v>
      </x:c>
      <x:c r="J143" s="60" t="n">
        <x:v>55</x:v>
      </x:c>
      <x:c r="K143" s="60" t="n">
        <x:v>505</x:v>
      </x:c>
      <x:c r="L143" s="64" t="n">
        <x:f>MAX('Growth Rules'!$B$8,ROUND(('Growth Rules'!$B$4+'Growth Rules'!$B$5*($K143-'Growth Rules'!$B$6))*(E143/($K143/6))^'Growth Rules'!$B$7,0))</x:f>
        <x:v>58</x:v>
      </x:c>
      <x:c r="M143" s="64" t="n">
        <x:f>MAX('Growth Rules'!$B$8,ROUND(('Growth Rules'!$B$4+'Growth Rules'!$B$5*($K143-'Growth Rules'!$B$6))*(F143/($K143/6))^'Growth Rules'!$B$7,0))</x:f>
        <x:v>58</x:v>
      </x:c>
      <x:c r="N143" s="64" t="n">
        <x:f>MAX('Growth Rules'!$B$8,ROUND(('Growth Rules'!$B$4+'Growth Rules'!$B$5*($K143-'Growth Rules'!$B$6))*(G143/($K143/6))^'Growth Rules'!$B$7,0))</x:f>
        <x:v>58</x:v>
      </x:c>
      <x:c r="O143" s="64" t="n">
        <x:f>MAX('Growth Rules'!$B$8,ROUND(('Growth Rules'!$B$4+'Growth Rules'!$B$5*($K143-'Growth Rules'!$B$6))*(H143/($K143/6))^'Growth Rules'!$B$7,0))</x:f>
        <x:v>29</x:v>
      </x:c>
      <x:c r="P143" s="64" t="n">
        <x:f>MAX('Growth Rules'!$B$8,ROUND(('Growth Rules'!$B$4+'Growth Rules'!$B$5*($K143-'Growth Rules'!$B$6))*(I143/($K143/6))^'Growth Rules'!$B$7,0))</x:f>
        <x:v>58</x:v>
      </x:c>
      <x:c r="Q143" s="64" t="n">
        <x:f>MAX('Growth Rules'!$B$8,ROUND(('Growth Rules'!$B$4+'Growth Rules'!$B$5*($K143-'Growth Rules'!$B$6))*(J143/($K143/6))^'Growth Rules'!$B$7,0))</x:f>
        <x:v>17</x:v>
      </x:c>
      <x:c r="R143" s="66" t="n">
        <x:f>SUM(L143:Q143)/100</x:f>
        <x:v>2.78</x:v>
      </x:c>
      <x:c r="S143" s="62" t="str"/>
      <x:c r="T143" s="62" t="str"/>
      <x:c r="U143" s="62" t="str"/>
      <x:c r="V143" s="62" t="str"/>
      <x:c r="W143" s="62" t="str"/>
      <x:c r="X143" s="62" t="str"/>
      <x:c r="Y143" s="62" t="str">
        <x:v>Regional_Dex_Stats_and_Abilities_COMPLETE_v2.xlsx + Regional_Dex_Progression_Learnsets_v3.xlsx</x:v>
      </x:c>
    </x:row>
    <x:row r="144">
      <x:c r="A144" s="60" t="n">
        <x:v>141</x:v>
      </x:c>
      <x:c r="B144" s="62" t="str">
        <x:v>Pilgrimp</x:v>
      </x:c>
      <x:c r="C144" s="62" t="str">
        <x:v>Normal</x:v>
      </x:c>
      <x:c r="D144" s="62" t="str"/>
      <x:c r="E144" s="60" t="n">
        <x:v>50</x:v>
      </x:c>
      <x:c r="F144" s="60" t="n">
        <x:v>50</x:v>
      </x:c>
      <x:c r="G144" s="60" t="n">
        <x:v>50</x:v>
      </x:c>
      <x:c r="H144" s="60" t="n">
        <x:v>50</x:v>
      </x:c>
      <x:c r="I144" s="60" t="n">
        <x:v>50</x:v>
      </x:c>
      <x:c r="J144" s="60" t="n">
        <x:v>50</x:v>
      </x:c>
      <x:c r="K144" s="60" t="n">
        <x:v>300</x:v>
      </x:c>
      <x:c r="L144" s="64" t="n">
        <x:f>MAX('Growth Rules'!$B$8,ROUND(('Growth Rules'!$B$4+'Growth Rules'!$B$5*($K144-'Growth Rules'!$B$6))*(E144/($K144/6))^'Growth Rules'!$B$7,0))</x:f>
        <x:v>32</x:v>
      </x:c>
      <x:c r="M144" s="64" t="n">
        <x:f>MAX('Growth Rules'!$B$8,ROUND(('Growth Rules'!$B$4+'Growth Rules'!$B$5*($K144-'Growth Rules'!$B$6))*(F144/($K144/6))^'Growth Rules'!$B$7,0))</x:f>
        <x:v>32</x:v>
      </x:c>
      <x:c r="N144" s="64" t="n">
        <x:f>MAX('Growth Rules'!$B$8,ROUND(('Growth Rules'!$B$4+'Growth Rules'!$B$5*($K144-'Growth Rules'!$B$6))*(G144/($K144/6))^'Growth Rules'!$B$7,0))</x:f>
        <x:v>32</x:v>
      </x:c>
      <x:c r="O144" s="64" t="n">
        <x:f>MAX('Growth Rules'!$B$8,ROUND(('Growth Rules'!$B$4+'Growth Rules'!$B$5*($K144-'Growth Rules'!$B$6))*(H144/($K144/6))^'Growth Rules'!$B$7,0))</x:f>
        <x:v>32</x:v>
      </x:c>
      <x:c r="P144" s="64" t="n">
        <x:f>MAX('Growth Rules'!$B$8,ROUND(('Growth Rules'!$B$4+'Growth Rules'!$B$5*($K144-'Growth Rules'!$B$6))*(I144/($K144/6))^'Growth Rules'!$B$7,0))</x:f>
        <x:v>32</x:v>
      </x:c>
      <x:c r="Q144" s="64" t="n">
        <x:f>MAX('Growth Rules'!$B$8,ROUND(('Growth Rules'!$B$4+'Growth Rules'!$B$5*($K144-'Growth Rules'!$B$6))*(J144/($K144/6))^'Growth Rules'!$B$7,0))</x:f>
        <x:v>32</x:v>
      </x:c>
      <x:c r="R144" s="66" t="n">
        <x:f>SUM(L144:Q144)/100</x:f>
        <x:v>1.92</x:v>
      </x:c>
      <x:c r="S144" s="62" t="str">
        <x:v>Ganderiel; Caproclaim</x:v>
      </x:c>
      <x:c r="T144" s="62" t="str">
        <x:v>ITEM; ITEM</x:v>
      </x:c>
      <x:c r="U144" s="62" t="str">
        <x:v>28; 28</x:v>
      </x:c>
      <x:c r="V144" s="62" t="str">
        <x:v>Wayfarer Feather; Pilgrim Bell</x:v>
      </x:c>
      <x:c r="W144" s="62" t="str">
        <x:v>28; 28</x:v>
      </x:c>
      <x:c r="X144" s="62" t="str">
        <x:v>KEEP EXISTING / VALIDATED</x:v>
      </x:c>
      <x:c r="Y144" s="62" t="str">
        <x:v>Regional_Dex_Stats_and_Abilities_COMPLETE_v2.xlsx + Regional_Dex_Progression_Learnsets_v3.xlsx</x:v>
      </x:c>
    </x:row>
    <x:row r="145">
      <x:c r="A145" s="60" t="n">
        <x:v>142</x:v>
      </x:c>
      <x:c r="B145" s="62" t="str">
        <x:v>Ganderiel</x:v>
      </x:c>
      <x:c r="C145" s="62" t="str">
        <x:v>Normal</x:v>
      </x:c>
      <x:c r="D145" s="62" t="str">
        <x:v>Flying</x:v>
      </x:c>
      <x:c r="E145" s="60" t="n">
        <x:v>75</x:v>
      </x:c>
      <x:c r="F145" s="60" t="n">
        <x:v>85</x:v>
      </x:c>
      <x:c r="G145" s="60" t="n">
        <x:v>70</x:v>
      </x:c>
      <x:c r="H145" s="60" t="n">
        <x:v>70</x:v>
      </x:c>
      <x:c r="I145" s="60" t="n">
        <x:v>85</x:v>
      </x:c>
      <x:c r="J145" s="60" t="n">
        <x:v>100</x:v>
      </x:c>
      <x:c r="K145" s="60" t="n">
        <x:v>485</x:v>
      </x:c>
      <x:c r="L145" s="64" t="n">
        <x:f>MAX('Growth Rules'!$B$8,ROUND(('Growth Rules'!$B$4+'Growth Rules'!$B$5*($K145-'Growth Rules'!$B$6))*(E145/($K145/6))^'Growth Rules'!$B$7,0))</x:f>
        <x:v>36</x:v>
      </x:c>
      <x:c r="M145" s="64" t="n">
        <x:f>MAX('Growth Rules'!$B$8,ROUND(('Growth Rules'!$B$4+'Growth Rules'!$B$5*($K145-'Growth Rules'!$B$6))*(F145/($K145/6))^'Growth Rules'!$B$7,0))</x:f>
        <x:v>48</x:v>
      </x:c>
      <x:c r="N145" s="64" t="n">
        <x:f>MAX('Growth Rules'!$B$8,ROUND(('Growth Rules'!$B$4+'Growth Rules'!$B$5*($K145-'Growth Rules'!$B$6))*(G145/($K145/6))^'Growth Rules'!$B$7,0))</x:f>
        <x:v>31</x:v>
      </x:c>
      <x:c r="O145" s="64" t="n">
        <x:f>MAX('Growth Rules'!$B$8,ROUND(('Growth Rules'!$B$4+'Growth Rules'!$B$5*($K145-'Growth Rules'!$B$6))*(H145/($K145/6))^'Growth Rules'!$B$7,0))</x:f>
        <x:v>31</x:v>
      </x:c>
      <x:c r="P145" s="64" t="n">
        <x:f>MAX('Growth Rules'!$B$8,ROUND(('Growth Rules'!$B$4+'Growth Rules'!$B$5*($K145-'Growth Rules'!$B$6))*(I145/($K145/6))^'Growth Rules'!$B$7,0))</x:f>
        <x:v>48</x:v>
      </x:c>
      <x:c r="Q145" s="64" t="n">
        <x:f>MAX('Growth Rules'!$B$8,ROUND(('Growth Rules'!$B$4+'Growth Rules'!$B$5*($K145-'Growth Rules'!$B$6))*(J145/($K145/6))^'Growth Rules'!$B$7,0))</x:f>
        <x:v>70</x:v>
      </x:c>
      <x:c r="R145" s="66" t="n">
        <x:f>SUM(L145:Q145)/100</x:f>
        <x:v>2.64</x:v>
      </x:c>
      <x:c r="S145" s="62" t="str"/>
      <x:c r="T145" s="62" t="str"/>
      <x:c r="U145" s="62" t="str"/>
      <x:c r="V145" s="62" t="str"/>
      <x:c r="W145" s="62" t="str"/>
      <x:c r="X145" s="62" t="str"/>
      <x:c r="Y145" s="62" t="str">
        <x:v>Regional_Dex_Stats_and_Abilities_COMPLETE_v2.xlsx + Regional_Dex_Progression_Learnsets_v3.xlsx</x:v>
      </x:c>
    </x:row>
    <x:row r="146">
      <x:c r="A146" s="60" t="n">
        <x:v>143</x:v>
      </x:c>
      <x:c r="B146" s="62" t="str">
        <x:v>Caproclaim</x:v>
      </x:c>
      <x:c r="C146" s="62" t="str">
        <x:v>Normal</x:v>
      </x:c>
      <x:c r="D146" s="62" t="str">
        <x:v>Fairy</x:v>
      </x:c>
      <x:c r="E146" s="60" t="n">
        <x:v>95</x:v>
      </x:c>
      <x:c r="F146" s="60" t="n">
        <x:v>70</x:v>
      </x:c>
      <x:c r="G146" s="60" t="n">
        <x:v>85</x:v>
      </x:c>
      <x:c r="H146" s="60" t="n">
        <x:v>70</x:v>
      </x:c>
      <x:c r="I146" s="60" t="n">
        <x:v>95</x:v>
      </x:c>
      <x:c r="J146" s="60" t="n">
        <x:v>70</x:v>
      </x:c>
      <x:c r="K146" s="60" t="n">
        <x:v>485</x:v>
      </x:c>
      <x:c r="L146" s="64" t="n">
        <x:f>MAX('Growth Rules'!$B$8,ROUND(('Growth Rules'!$B$4+'Growth Rules'!$B$5*($K146-'Growth Rules'!$B$6))*(E146/($K146/6))^'Growth Rules'!$B$7,0))</x:f>
        <x:v>62</x:v>
      </x:c>
      <x:c r="M146" s="64" t="n">
        <x:f>MAX('Growth Rules'!$B$8,ROUND(('Growth Rules'!$B$4+'Growth Rules'!$B$5*($K146-'Growth Rules'!$B$6))*(F146/($K146/6))^'Growth Rules'!$B$7,0))</x:f>
        <x:v>31</x:v>
      </x:c>
      <x:c r="N146" s="64" t="n">
        <x:f>MAX('Growth Rules'!$B$8,ROUND(('Growth Rules'!$B$4+'Growth Rules'!$B$5*($K146-'Growth Rules'!$B$6))*(G146/($K146/6))^'Growth Rules'!$B$7,0))</x:f>
        <x:v>48</x:v>
      </x:c>
      <x:c r="O146" s="64" t="n">
        <x:f>MAX('Growth Rules'!$B$8,ROUND(('Growth Rules'!$B$4+'Growth Rules'!$B$5*($K146-'Growth Rules'!$B$6))*(H146/($K146/6))^'Growth Rules'!$B$7,0))</x:f>
        <x:v>31</x:v>
      </x:c>
      <x:c r="P146" s="64" t="n">
        <x:f>MAX('Growth Rules'!$B$8,ROUND(('Growth Rules'!$B$4+'Growth Rules'!$B$5*($K146-'Growth Rules'!$B$6))*(I146/($K146/6))^'Growth Rules'!$B$7,0))</x:f>
        <x:v>62</x:v>
      </x:c>
      <x:c r="Q146" s="64" t="n">
        <x:f>MAX('Growth Rules'!$B$8,ROUND(('Growth Rules'!$B$4+'Growth Rules'!$B$5*($K146-'Growth Rules'!$B$6))*(J146/($K146/6))^'Growth Rules'!$B$7,0))</x:f>
        <x:v>31</x:v>
      </x:c>
      <x:c r="R146" s="66" t="n">
        <x:f>SUM(L146:Q146)/100</x:f>
        <x:v>2.65</x:v>
      </x:c>
      <x:c r="S146" s="62" t="str"/>
      <x:c r="T146" s="62" t="str"/>
      <x:c r="U146" s="62" t="str"/>
      <x:c r="V146" s="62" t="str"/>
      <x:c r="W146" s="62" t="str"/>
      <x:c r="X146" s="62" t="str"/>
      <x:c r="Y146" s="62" t="str">
        <x:v>Regional_Dex_Stats_and_Abilities_COMPLETE_v2.xlsx + Regional_Dex_Progression_Learnsets_v3.xlsx</x:v>
      </x:c>
    </x:row>
    <x:row r="147">
      <x:c r="A147" s="60" t="n">
        <x:v>144</x:v>
      </x:c>
      <x:c r="B147" s="62" t="str">
        <x:v>Dartfin</x:v>
      </x:c>
      <x:c r="C147" s="62" t="str">
        <x:v>Electric</x:v>
      </x:c>
      <x:c r="D147" s="62" t="str"/>
      <x:c r="E147" s="60" t="n">
        <x:v>30</x:v>
      </x:c>
      <x:c r="F147" s="60" t="n">
        <x:v>35</x:v>
      </x:c>
      <x:c r="G147" s="60" t="n">
        <x:v>35</x:v>
      </x:c>
      <x:c r="H147" s="60" t="n">
        <x:v>70</x:v>
      </x:c>
      <x:c r="I147" s="60" t="n">
        <x:v>50</x:v>
      </x:c>
      <x:c r="J147" s="60" t="n">
        <x:v>70</x:v>
      </x:c>
      <x:c r="K147" s="60" t="n">
        <x:v>290</x:v>
      </x:c>
      <x:c r="L147" s="64" t="n">
        <x:f>MAX('Growth Rules'!$B$8,ROUND(('Growth Rules'!$B$4+'Growth Rules'!$B$5*($K147-'Growth Rules'!$B$6))*(E147/($K147/6))^'Growth Rules'!$B$7,0))</x:f>
        <x:v>11</x:v>
      </x:c>
      <x:c r="M147" s="64" t="n">
        <x:f>MAX('Growth Rules'!$B$8,ROUND(('Growth Rules'!$B$4+'Growth Rules'!$B$5*($K147-'Growth Rules'!$B$6))*(F147/($K147/6))^'Growth Rules'!$B$7,0))</x:f>
        <x:v>15</x:v>
      </x:c>
      <x:c r="N147" s="64" t="n">
        <x:f>MAX('Growth Rules'!$B$8,ROUND(('Growth Rules'!$B$4+'Growth Rules'!$B$5*($K147-'Growth Rules'!$B$6))*(G147/($K147/6))^'Growth Rules'!$B$7,0))</x:f>
        <x:v>15</x:v>
      </x:c>
      <x:c r="O147" s="64" t="n">
        <x:f>MAX('Growth Rules'!$B$8,ROUND(('Growth Rules'!$B$4+'Growth Rules'!$B$5*($K147-'Growth Rules'!$B$6))*(H147/($K147/6))^'Growth Rules'!$B$7,0))</x:f>
        <x:v>72</x:v>
      </x:c>
      <x:c r="P147" s="64" t="n">
        <x:f>MAX('Growth Rules'!$B$8,ROUND(('Growth Rules'!$B$4+'Growth Rules'!$B$5*($K147-'Growth Rules'!$B$6))*(I147/($K147/6))^'Growth Rules'!$B$7,0))</x:f>
        <x:v>34</x:v>
      </x:c>
      <x:c r="Q147" s="64" t="n">
        <x:f>MAX('Growth Rules'!$B$8,ROUND(('Growth Rules'!$B$4+'Growth Rules'!$B$5*($K147-'Growth Rules'!$B$6))*(J147/($K147/6))^'Growth Rules'!$B$7,0))</x:f>
        <x:v>72</x:v>
      </x:c>
      <x:c r="R147" s="66" t="n">
        <x:f>SUM(L147:Q147)/100</x:f>
        <x:v>2.19</x:v>
      </x:c>
      <x:c r="S147" s="62" t="str">
        <x:v>Lusivolt</x:v>
      </x:c>
      <x:c r="T147" s="62" t="str">
        <x:v>LEVEL</x:v>
      </x:c>
      <x:c r="U147" s="62" t="str">
        <x:v>26</x:v>
      </x:c>
      <x:c r="V147" s="62" t="str"/>
      <x:c r="W147" s="62" t="str">
        <x:v>26</x:v>
      </x:c>
      <x:c r="X147" s="62" t="str">
        <x:v>KEEP EXISTING / VALIDATED</x:v>
      </x:c>
      <x:c r="Y147" s="62" t="str">
        <x:v>Regional_Dex_Stats_and_Abilities_COMPLETE_v2.xlsx + Regional_Dex_Progression_Learnsets_v3.xlsx</x:v>
      </x:c>
    </x:row>
    <x:row r="148">
      <x:c r="A148" s="60" t="n">
        <x:v>145</x:v>
      </x:c>
      <x:c r="B148" s="62" t="str">
        <x:v>Lusivolt</x:v>
      </x:c>
      <x:c r="C148" s="62" t="str">
        <x:v>Electric</x:v>
      </x:c>
      <x:c r="D148" s="62" t="str">
        <x:v>Water</x:v>
      </x:c>
      <x:c r="E148" s="60" t="n">
        <x:v>75</x:v>
      </x:c>
      <x:c r="F148" s="60" t="n">
        <x:v>60</x:v>
      </x:c>
      <x:c r="G148" s="60" t="n">
        <x:v>60</x:v>
      </x:c>
      <x:c r="H148" s="60" t="n">
        <x:v>105</x:v>
      </x:c>
      <x:c r="I148" s="60" t="n">
        <x:v>75</x:v>
      </x:c>
      <x:c r="J148" s="60" t="n">
        <x:v>125</x:v>
      </x:c>
      <x:c r="K148" s="60" t="n">
        <x:v>500</x:v>
      </x:c>
      <x:c r="L148" s="64" t="n">
        <x:f>MAX('Growth Rules'!$B$8,ROUND(('Growth Rules'!$B$4+'Growth Rules'!$B$5*($K148-'Growth Rules'!$B$6))*(E148/($K148/6))^'Growth Rules'!$B$7,0))</x:f>
        <x:v>35</x:v>
      </x:c>
      <x:c r="M148" s="64" t="n">
        <x:f>MAX('Growth Rules'!$B$8,ROUND(('Growth Rules'!$B$4+'Growth Rules'!$B$5*($K148-'Growth Rules'!$B$6))*(F148/($K148/6))^'Growth Rules'!$B$7,0))</x:f>
        <x:v>21</x:v>
      </x:c>
      <x:c r="N148" s="64" t="n">
        <x:f>MAX('Growth Rules'!$B$8,ROUND(('Growth Rules'!$B$4+'Growth Rules'!$B$5*($K148-'Growth Rules'!$B$6))*(G148/($K148/6))^'Growth Rules'!$B$7,0))</x:f>
        <x:v>21</x:v>
      </x:c>
      <x:c r="O148" s="64" t="n">
        <x:f>MAX('Growth Rules'!$B$8,ROUND(('Growth Rules'!$B$4+'Growth Rules'!$B$5*($K148-'Growth Rules'!$B$6))*(H148/($K148/6))^'Growth Rules'!$B$7,0))</x:f>
        <x:v>74</x:v>
      </x:c>
      <x:c r="P148" s="64" t="n">
        <x:f>MAX('Growth Rules'!$B$8,ROUND(('Growth Rules'!$B$4+'Growth Rules'!$B$5*($K148-'Growth Rules'!$B$6))*(I148/($K148/6))^'Growth Rules'!$B$7,0))</x:f>
        <x:v>35</x:v>
      </x:c>
      <x:c r="Q148" s="64" t="n">
        <x:f>MAX('Growth Rules'!$B$8,ROUND(('Growth Rules'!$B$4+'Growth Rules'!$B$5*($K148-'Growth Rules'!$B$6))*(J148/($K148/6))^'Growth Rules'!$B$7,0))</x:f>
        <x:v>110</x:v>
      </x:c>
      <x:c r="R148" s="66" t="n">
        <x:f>SUM(L148:Q148)/100</x:f>
        <x:v>2.96</x:v>
      </x:c>
      <x:c r="S148" s="62" t="str"/>
      <x:c r="T148" s="62" t="str"/>
      <x:c r="U148" s="62" t="str"/>
      <x:c r="V148" s="62" t="str"/>
      <x:c r="W148" s="62" t="str"/>
      <x:c r="X148" s="62" t="str"/>
      <x:c r="Y148" s="62" t="str">
        <x:v>Regional_Dex_Stats_and_Abilities_COMPLETE_v2.xlsx + Regional_Dex_Progression_Learnsets_v3.xlsx</x:v>
      </x:c>
    </x:row>
    <x:row r="149">
      <x:c r="A149" s="60" t="n">
        <x:v>146</x:v>
      </x:c>
      <x:c r="B149" s="62" t="str">
        <x:v>Fieflet</x:v>
      </x:c>
      <x:c r="C149" s="62" t="str">
        <x:v>Ground</x:v>
      </x:c>
      <x:c r="D149" s="62" t="str"/>
      <x:c r="E149" s="60" t="n">
        <x:v>60</x:v>
      </x:c>
      <x:c r="F149" s="60" t="n">
        <x:v>55</x:v>
      </x:c>
      <x:c r="G149" s="60" t="n">
        <x:v>70</x:v>
      </x:c>
      <x:c r="H149" s="60" t="n">
        <x:v>35</x:v>
      </x:c>
      <x:c r="I149" s="60" t="n">
        <x:v>50</x:v>
      </x:c>
      <x:c r="J149" s="60" t="n">
        <x:v>35</x:v>
      </x:c>
      <x:c r="K149" s="60" t="n">
        <x:v>305</x:v>
      </x:c>
      <x:c r="L149" s="64" t="n">
        <x:f>MAX('Growth Rules'!$B$8,ROUND(('Growth Rules'!$B$4+'Growth Rules'!$B$5*($K149-'Growth Rules'!$B$6))*(E149/($K149/6))^'Growth Rules'!$B$7,0))</x:f>
        <x:v>47</x:v>
      </x:c>
      <x:c r="M149" s="64" t="n">
        <x:f>MAX('Growth Rules'!$B$8,ROUND(('Growth Rules'!$B$4+'Growth Rules'!$B$5*($K149-'Growth Rules'!$B$6))*(F149/($K149/6))^'Growth Rules'!$B$7,0))</x:f>
        <x:v>39</x:v>
      </x:c>
      <x:c r="N149" s="64" t="n">
        <x:f>MAX('Growth Rules'!$B$8,ROUND(('Growth Rules'!$B$4+'Growth Rules'!$B$5*($K149-'Growth Rules'!$B$6))*(G149/($K149/6))^'Growth Rules'!$B$7,0))</x:f>
        <x:v>66</x:v>
      </x:c>
      <x:c r="O149" s="64" t="n">
        <x:f>MAX('Growth Rules'!$B$8,ROUND(('Growth Rules'!$B$4+'Growth Rules'!$B$5*($K149-'Growth Rules'!$B$6))*(H149/($K149/6))^'Growth Rules'!$B$7,0))</x:f>
        <x:v>14</x:v>
      </x:c>
      <x:c r="P149" s="64" t="n">
        <x:f>MAX('Growth Rules'!$B$8,ROUND(('Growth Rules'!$B$4+'Growth Rules'!$B$5*($K149-'Growth Rules'!$B$6))*(I149/($K149/6))^'Growth Rules'!$B$7,0))</x:f>
        <x:v>31</x:v>
      </x:c>
      <x:c r="Q149" s="64" t="n">
        <x:f>MAX('Growth Rules'!$B$8,ROUND(('Growth Rules'!$B$4+'Growth Rules'!$B$5*($K149-'Growth Rules'!$B$6))*(J149/($K149/6))^'Growth Rules'!$B$7,0))</x:f>
        <x:v>14</x:v>
      </x:c>
      <x:c r="R149" s="66" t="n">
        <x:f>SUM(L149:Q149)/100</x:f>
        <x:v>2.11</x:v>
      </x:c>
      <x:c r="S149" s="62" t="str">
        <x:v>Pledrake</x:v>
      </x:c>
      <x:c r="T149" s="62" t="str">
        <x:v>LEVEL</x:v>
      </x:c>
      <x:c r="U149" s="62" t="str">
        <x:v>26</x:v>
      </x:c>
      <x:c r="V149" s="62" t="str"/>
      <x:c r="W149" s="62" t="str">
        <x:v>26</x:v>
      </x:c>
      <x:c r="X149" s="62" t="str">
        <x:v>KEEP EXISTING / VALIDATED</x:v>
      </x:c>
      <x:c r="Y149" s="62" t="str">
        <x:v>Regional_Dex_Stats_and_Abilities_COMPLETE_v2.xlsx + Regional_Dex_Progression_Learnsets_v3.xlsx</x:v>
      </x:c>
    </x:row>
    <x:row r="150">
      <x:c r="A150" s="60" t="n">
        <x:v>147</x:v>
      </x:c>
      <x:c r="B150" s="62" t="str">
        <x:v>Pledrake</x:v>
      </x:c>
      <x:c r="C150" s="62" t="str">
        <x:v>Ground</x:v>
      </x:c>
      <x:c r="D150" s="62" t="str">
        <x:v>Dragon</x:v>
      </x:c>
      <x:c r="E150" s="60" t="n">
        <x:v>95</x:v>
      </x:c>
      <x:c r="F150" s="60" t="n">
        <x:v>95</x:v>
      </x:c>
      <x:c r="G150" s="60" t="n">
        <x:v>95</x:v>
      </x:c>
      <x:c r="H150" s="60" t="n">
        <x:v>70</x:v>
      </x:c>
      <x:c r="I150" s="60" t="n">
        <x:v>95</x:v>
      </x:c>
      <x:c r="J150" s="60" t="n">
        <x:v>80</x:v>
      </x:c>
      <x:c r="K150" s="60" t="n">
        <x:v>530</x:v>
      </x:c>
      <x:c r="L150" s="64" t="n">
        <x:f>MAX('Growth Rules'!$B$8,ROUND(('Growth Rules'!$B$4+'Growth Rules'!$B$5*($K150-'Growth Rules'!$B$6))*(E150/($K150/6))^'Growth Rules'!$B$7,0))</x:f>
        <x:v>54</x:v>
      </x:c>
      <x:c r="M150" s="64" t="n">
        <x:f>MAX('Growth Rules'!$B$8,ROUND(('Growth Rules'!$B$4+'Growth Rules'!$B$5*($K150-'Growth Rules'!$B$6))*(F150/($K150/6))^'Growth Rules'!$B$7,0))</x:f>
        <x:v>54</x:v>
      </x:c>
      <x:c r="N150" s="64" t="n">
        <x:f>MAX('Growth Rules'!$B$8,ROUND(('Growth Rules'!$B$4+'Growth Rules'!$B$5*($K150-'Growth Rules'!$B$6))*(G150/($K150/6))^'Growth Rules'!$B$7,0))</x:f>
        <x:v>54</x:v>
      </x:c>
      <x:c r="O150" s="64" t="n">
        <x:f>MAX('Growth Rules'!$B$8,ROUND(('Growth Rules'!$B$4+'Growth Rules'!$B$5*($K150-'Growth Rules'!$B$6))*(H150/($K150/6))^'Growth Rules'!$B$7,0))</x:f>
        <x:v>27</x:v>
      </x:c>
      <x:c r="P150" s="64" t="n">
        <x:f>MAX('Growth Rules'!$B$8,ROUND(('Growth Rules'!$B$4+'Growth Rules'!$B$5*($K150-'Growth Rules'!$B$6))*(I150/($K150/6))^'Growth Rules'!$B$7,0))</x:f>
        <x:v>54</x:v>
      </x:c>
      <x:c r="Q150" s="64" t="n">
        <x:f>MAX('Growth Rules'!$B$8,ROUND(('Growth Rules'!$B$4+'Growth Rules'!$B$5*($K150-'Growth Rules'!$B$6))*(J150/($K150/6))^'Growth Rules'!$B$7,0))</x:f>
        <x:v>37</x:v>
      </x:c>
      <x:c r="R150" s="66" t="n">
        <x:f>SUM(L150:Q150)/100</x:f>
        <x:v>2.8</x:v>
      </x:c>
      <x:c r="S150" s="62" t="str"/>
      <x:c r="T150" s="62" t="str"/>
      <x:c r="U150" s="62" t="str"/>
      <x:c r="V150" s="62" t="str"/>
      <x:c r="W150" s="62" t="str"/>
      <x:c r="X150" s="62" t="str"/>
      <x:c r="Y150" s="62" t="str">
        <x:v>Regional_Dex_Stats_and_Abilities_COMPLETE_v2.xlsx + Regional_Dex_Progression_Learnsets_v3.xlsx</x:v>
      </x:c>
    </x:row>
    <x:row r="151">
      <x:c r="A151" s="60" t="n">
        <x:v>148</x:v>
      </x:c>
      <x:c r="B151" s="62" t="str">
        <x:v>Decimite</x:v>
      </x:c>
      <x:c r="C151" s="62" t="str">
        <x:v>Bug</x:v>
      </x:c>
      <x:c r="D151" s="62" t="str"/>
      <x:c r="E151" s="60" t="n">
        <x:v>45</x:v>
      </x:c>
      <x:c r="F151" s="60" t="n">
        <x:v>50</x:v>
      </x:c>
      <x:c r="G151" s="60" t="n">
        <x:v>50</x:v>
      </x:c>
      <x:c r="H151" s="60" t="n">
        <x:v>35</x:v>
      </x:c>
      <x:c r="I151" s="60" t="n">
        <x:v>50</x:v>
      </x:c>
      <x:c r="J151" s="60" t="n">
        <x:v>60</x:v>
      </x:c>
      <x:c r="K151" s="60" t="n">
        <x:v>290</x:v>
      </x:c>
      <x:c r="L151" s="64" t="n">
        <x:f>MAX('Growth Rules'!$B$8,ROUND(('Growth Rules'!$B$4+'Growth Rules'!$B$5*($K151-'Growth Rules'!$B$6))*(E151/($K151/6))^'Growth Rules'!$B$7,0))</x:f>
        <x:v>27</x:v>
      </x:c>
      <x:c r="M151" s="64" t="n">
        <x:f>MAX('Growth Rules'!$B$8,ROUND(('Growth Rules'!$B$4+'Growth Rules'!$B$5*($K151-'Growth Rules'!$B$6))*(F151/($K151/6))^'Growth Rules'!$B$7,0))</x:f>
        <x:v>34</x:v>
      </x:c>
      <x:c r="N151" s="64" t="n">
        <x:f>MAX('Growth Rules'!$B$8,ROUND(('Growth Rules'!$B$4+'Growth Rules'!$B$5*($K151-'Growth Rules'!$B$6))*(G151/($K151/6))^'Growth Rules'!$B$7,0))</x:f>
        <x:v>34</x:v>
      </x:c>
      <x:c r="O151" s="64" t="n">
        <x:f>MAX('Growth Rules'!$B$8,ROUND(('Growth Rules'!$B$4+'Growth Rules'!$B$5*($K151-'Growth Rules'!$B$6))*(H151/($K151/6))^'Growth Rules'!$B$7,0))</x:f>
        <x:v>15</x:v>
      </x:c>
      <x:c r="P151" s="64" t="n">
        <x:f>MAX('Growth Rules'!$B$8,ROUND(('Growth Rules'!$B$4+'Growth Rules'!$B$5*($K151-'Growth Rules'!$B$6))*(I151/($K151/6))^'Growth Rules'!$B$7,0))</x:f>
        <x:v>34</x:v>
      </x:c>
      <x:c r="Q151" s="64" t="n">
        <x:f>MAX('Growth Rules'!$B$8,ROUND(('Growth Rules'!$B$4+'Growth Rules'!$B$5*($K151-'Growth Rules'!$B$6))*(J151/($K151/6))^'Growth Rules'!$B$7,0))</x:f>
        <x:v>51</x:v>
      </x:c>
      <x:c r="R151" s="66" t="n">
        <x:f>SUM(L151:Q151)/100</x:f>
        <x:v>1.95</x:v>
      </x:c>
      <x:c r="S151" s="62" t="str">
        <x:v>Tithelect</x:v>
      </x:c>
      <x:c r="T151" s="62" t="str">
        <x:v>LEVEL</x:v>
      </x:c>
      <x:c r="U151" s="62" t="str">
        <x:v>26</x:v>
      </x:c>
      <x:c r="V151" s="62" t="str"/>
      <x:c r="W151" s="62" t="str">
        <x:v>26</x:v>
      </x:c>
      <x:c r="X151" s="62" t="str">
        <x:v>KEEP EXISTING / VALIDATED</x:v>
      </x:c>
      <x:c r="Y151" s="62" t="str">
        <x:v>Regional_Dex_Stats_and_Abilities_COMPLETE_v2.xlsx + Regional_Dex_Progression_Learnsets_v3.xlsx</x:v>
      </x:c>
    </x:row>
    <x:row r="152">
      <x:c r="A152" s="60" t="n">
        <x:v>149</x:v>
      </x:c>
      <x:c r="B152" s="62" t="str">
        <x:v>Tithelect</x:v>
      </x:c>
      <x:c r="C152" s="62" t="str">
        <x:v>Bug</x:v>
      </x:c>
      <x:c r="D152" s="62" t="str">
        <x:v>Electric</x:v>
      </x:c>
      <x:c r="E152" s="60" t="n">
        <x:v>95</x:v>
      </x:c>
      <x:c r="F152" s="60" t="n">
        <x:v>70</x:v>
      </x:c>
      <x:c r="G152" s="60" t="n">
        <x:v>90</x:v>
      </x:c>
      <x:c r="H152" s="60" t="n">
        <x:v>90</x:v>
      </x:c>
      <x:c r="I152" s="60" t="n">
        <x:v>95</x:v>
      </x:c>
      <x:c r="J152" s="60" t="n">
        <x:v>55</x:v>
      </x:c>
      <x:c r="K152" s="60" t="n">
        <x:v>495</x:v>
      </x:c>
      <x:c r="L152" s="64" t="n">
        <x:f>MAX('Growth Rules'!$B$8,ROUND(('Growth Rules'!$B$4+'Growth Rules'!$B$5*($K152-'Growth Rules'!$B$6))*(E152/($K152/6))^'Growth Rules'!$B$7,0))</x:f>
        <x:v>60</x:v>
      </x:c>
      <x:c r="M152" s="64" t="n">
        <x:f>MAX('Growth Rules'!$B$8,ROUND(('Growth Rules'!$B$4+'Growth Rules'!$B$5*($K152-'Growth Rules'!$B$6))*(F152/($K152/6))^'Growth Rules'!$B$7,0))</x:f>
        <x:v>30</x:v>
      </x:c>
      <x:c r="N152" s="64" t="n">
        <x:f>MAX('Growth Rules'!$B$8,ROUND(('Growth Rules'!$B$4+'Growth Rules'!$B$5*($K152-'Growth Rules'!$B$6))*(G152/($K152/6))^'Growth Rules'!$B$7,0))</x:f>
        <x:v>53</x:v>
      </x:c>
      <x:c r="O152" s="64" t="n">
        <x:f>MAX('Growth Rules'!$B$8,ROUND(('Growth Rules'!$B$4+'Growth Rules'!$B$5*($K152-'Growth Rules'!$B$6))*(H152/($K152/6))^'Growth Rules'!$B$7,0))</x:f>
        <x:v>53</x:v>
      </x:c>
      <x:c r="P152" s="64" t="n">
        <x:f>MAX('Growth Rules'!$B$8,ROUND(('Growth Rules'!$B$4+'Growth Rules'!$B$5*($K152-'Growth Rules'!$B$6))*(I152/($K152/6))^'Growth Rules'!$B$7,0))</x:f>
        <x:v>60</x:v>
      </x:c>
      <x:c r="Q152" s="64" t="n">
        <x:f>MAX('Growth Rules'!$B$8,ROUND(('Growth Rules'!$B$4+'Growth Rules'!$B$5*($K152-'Growth Rules'!$B$6))*(J152/($K152/6))^'Growth Rules'!$B$7,0))</x:f>
        <x:v>18</x:v>
      </x:c>
      <x:c r="R152" s="66" t="n">
        <x:f>SUM(L152:Q152)/100</x:f>
        <x:v>2.74</x:v>
      </x:c>
      <x:c r="S152" s="62" t="str"/>
      <x:c r="T152" s="62" t="str"/>
      <x:c r="U152" s="62" t="str"/>
      <x:c r="V152" s="62" t="str"/>
      <x:c r="W152" s="62" t="str"/>
      <x:c r="X152" s="62" t="str"/>
      <x:c r="Y152" s="62" t="str">
        <x:v>Regional_Dex_Stats_and_Abilities_COMPLETE_v2.xlsx + Regional_Dex_Progression_Learnsets_v3.xlsx</x:v>
      </x:c>
    </x:row>
    <x:row r="153">
      <x:c r="A153" s="60" t="n">
        <x:v>150</x:v>
      </x:c>
      <x:c r="B153" s="62" t="str">
        <x:v>Lyrlet</x:v>
      </x:c>
      <x:c r="C153" s="62" t="str">
        <x:v>Fairy</x:v>
      </x:c>
      <x:c r="D153" s="62" t="str"/>
      <x:c r="E153" s="60" t="n">
        <x:v>40</x:v>
      </x:c>
      <x:c r="F153" s="60" t="n">
        <x:v>30</x:v>
      </x:c>
      <x:c r="G153" s="60" t="n">
        <x:v>40</x:v>
      </x:c>
      <x:c r="H153" s="60" t="n">
        <x:v>65</x:v>
      </x:c>
      <x:c r="I153" s="60" t="n">
        <x:v>60</x:v>
      </x:c>
      <x:c r="J153" s="60" t="n">
        <x:v>70</x:v>
      </x:c>
      <x:c r="K153" s="60" t="n">
        <x:v>305</x:v>
      </x:c>
      <x:c r="L153" s="64" t="n">
        <x:f>MAX('Growth Rules'!$B$8,ROUND(('Growth Rules'!$B$4+'Growth Rules'!$B$5*($K153-'Growth Rules'!$B$6))*(E153/($K153/6))^'Growth Rules'!$B$7,0))</x:f>
        <x:v>19</x:v>
      </x:c>
      <x:c r="M153" s="64" t="n">
        <x:f>MAX('Growth Rules'!$B$8,ROUND(('Growth Rules'!$B$4+'Growth Rules'!$B$5*($K153-'Growth Rules'!$B$6))*(F153/($K153/6))^'Growth Rules'!$B$7,0))</x:f>
        <x:v>10</x:v>
      </x:c>
      <x:c r="N153" s="64" t="n">
        <x:f>MAX('Growth Rules'!$B$8,ROUND(('Growth Rules'!$B$4+'Growth Rules'!$B$5*($K153-'Growth Rules'!$B$6))*(G153/($K153/6))^'Growth Rules'!$B$7,0))</x:f>
        <x:v>19</x:v>
      </x:c>
      <x:c r="O153" s="64" t="n">
        <x:f>MAX('Growth Rules'!$B$8,ROUND(('Growth Rules'!$B$4+'Growth Rules'!$B$5*($K153-'Growth Rules'!$B$6))*(H153/($K153/6))^'Growth Rules'!$B$7,0))</x:f>
        <x:v>56</x:v>
      </x:c>
      <x:c r="P153" s="64" t="n">
        <x:f>MAX('Growth Rules'!$B$8,ROUND(('Growth Rules'!$B$4+'Growth Rules'!$B$5*($K153-'Growth Rules'!$B$6))*(I153/($K153/6))^'Growth Rules'!$B$7,0))</x:f>
        <x:v>47</x:v>
      </x:c>
      <x:c r="Q153" s="64" t="n">
        <x:f>MAX('Growth Rules'!$B$8,ROUND(('Growth Rules'!$B$4+'Growth Rules'!$B$5*($K153-'Growth Rules'!$B$6))*(J153/($K153/6))^'Growth Rules'!$B$7,0))</x:f>
        <x:v>66</x:v>
      </x:c>
      <x:c r="R153" s="66" t="n">
        <x:f>SUM(L153:Q153)/100</x:f>
        <x:v>2.17</x:v>
      </x:c>
      <x:c r="S153" s="62" t="str">
        <x:v>Aquilore</x:v>
      </x:c>
      <x:c r="T153" s="62" t="str">
        <x:v>LEVEL</x:v>
      </x:c>
      <x:c r="U153" s="62" t="str">
        <x:v>26</x:v>
      </x:c>
      <x:c r="V153" s="62" t="str"/>
      <x:c r="W153" s="62" t="str">
        <x:v>26</x:v>
      </x:c>
      <x:c r="X153" s="62" t="str">
        <x:v>KEEP EXISTING / VALIDATED</x:v>
      </x:c>
      <x:c r="Y153" s="62" t="str">
        <x:v>Regional_Dex_Stats_and_Abilities_COMPLETE_v2.xlsx + Regional_Dex_Progression_Learnsets_v3.xlsx</x:v>
      </x:c>
    </x:row>
    <x:row r="154">
      <x:c r="A154" s="60" t="n">
        <x:v>151</x:v>
      </x:c>
      <x:c r="B154" s="62" t="str">
        <x:v>Aquilore</x:v>
      </x:c>
      <x:c r="C154" s="62" t="str">
        <x:v>Fairy</x:v>
      </x:c>
      <x:c r="D154" s="62" t="str">
        <x:v>Dragon</x:v>
      </x:c>
      <x:c r="E154" s="60" t="n">
        <x:v>85</x:v>
      </x:c>
      <x:c r="F154" s="60" t="n">
        <x:v>60</x:v>
      </x:c>
      <x:c r="G154" s="60" t="n">
        <x:v>75</x:v>
      </x:c>
      <x:c r="H154" s="60" t="n">
        <x:v>105</x:v>
      </x:c>
      <x:c r="I154" s="60" t="n">
        <x:v>105</x:v>
      </x:c>
      <x:c r="J154" s="60" t="n">
        <x:v>105</x:v>
      </x:c>
      <x:c r="K154" s="60" t="n">
        <x:v>535</x:v>
      </x:c>
      <x:c r="L154" s="64" t="n">
        <x:f>MAX('Growth Rules'!$B$8,ROUND(('Growth Rules'!$B$4+'Growth Rules'!$B$5*($K154-'Growth Rules'!$B$6))*(E154/($K154/6))^'Growth Rules'!$B$7,0))</x:f>
        <x:v>41</x:v>
      </x:c>
      <x:c r="M154" s="64" t="n">
        <x:f>MAX('Growth Rules'!$B$8,ROUND(('Growth Rules'!$B$4+'Growth Rules'!$B$5*($K154-'Growth Rules'!$B$6))*(F154/($K154/6))^'Growth Rules'!$B$7,0))</x:f>
        <x:v>19</x:v>
      </x:c>
      <x:c r="N154" s="64" t="n">
        <x:f>MAX('Growth Rules'!$B$8,ROUND(('Growth Rules'!$B$4+'Growth Rules'!$B$5*($K154-'Growth Rules'!$B$6))*(G154/($K154/6))^'Growth Rules'!$B$7,0))</x:f>
        <x:v>31</x:v>
      </x:c>
      <x:c r="O154" s="64" t="n">
        <x:f>MAX('Growth Rules'!$B$8,ROUND(('Growth Rules'!$B$4+'Growth Rules'!$B$5*($K154-'Growth Rules'!$B$6))*(H154/($K154/6))^'Growth Rules'!$B$7,0))</x:f>
        <x:v>67</x:v>
      </x:c>
      <x:c r="P154" s="64" t="n">
        <x:f>MAX('Growth Rules'!$B$8,ROUND(('Growth Rules'!$B$4+'Growth Rules'!$B$5*($K154-'Growth Rules'!$B$6))*(I154/($K154/6))^'Growth Rules'!$B$7,0))</x:f>
        <x:v>67</x:v>
      </x:c>
      <x:c r="Q154" s="64" t="n">
        <x:f>MAX('Growth Rules'!$B$8,ROUND(('Growth Rules'!$B$4+'Growth Rules'!$B$5*($K154-'Growth Rules'!$B$6))*(J154/($K154/6))^'Growth Rules'!$B$7,0))</x:f>
        <x:v>67</x:v>
      </x:c>
      <x:c r="R154" s="66" t="n">
        <x:f>SUM(L154:Q154)/100</x:f>
        <x:v>2.92</x:v>
      </x:c>
      <x:c r="S154" s="62" t="str"/>
      <x:c r="T154" s="62" t="str"/>
      <x:c r="U154" s="62" t="str"/>
      <x:c r="V154" s="62" t="str"/>
      <x:c r="W154" s="62" t="str"/>
      <x:c r="X154" s="62" t="str"/>
      <x:c r="Y154" s="62" t="str">
        <x:v>Regional_Dex_Stats_and_Abilities_COMPLETE_v2.xlsx + Regional_Dex_Progression_Learnsets_v3.xlsx</x:v>
      </x:c>
    </x:row>
    <x:row r="155">
      <x:c r="A155" s="60" t="n">
        <x:v>152</x:v>
      </x:c>
      <x:c r="B155" s="62" t="str">
        <x:v>Acremink</x:v>
      </x:c>
      <x:c r="C155" s="62" t="str">
        <x:v>Poison</x:v>
      </x:c>
      <x:c r="D155" s="62" t="str"/>
      <x:c r="E155" s="60" t="n">
        <x:v>45</x:v>
      </x:c>
      <x:c r="F155" s="60" t="n">
        <x:v>50</x:v>
      </x:c>
      <x:c r="G155" s="60" t="n">
        <x:v>50</x:v>
      </x:c>
      <x:c r="H155" s="60" t="n">
        <x:v>40</x:v>
      </x:c>
      <x:c r="I155" s="60" t="n">
        <x:v>55</x:v>
      </x:c>
      <x:c r="J155" s="60" t="n">
        <x:v>65</x:v>
      </x:c>
      <x:c r="K155" s="60" t="n">
        <x:v>305</x:v>
      </x:c>
      <x:c r="L155" s="64" t="n">
        <x:f>MAX('Growth Rules'!$B$8,ROUND(('Growth Rules'!$B$4+'Growth Rules'!$B$5*($K155-'Growth Rules'!$B$6))*(E155/($K155/6))^'Growth Rules'!$B$7,0))</x:f>
        <x:v>25</x:v>
      </x:c>
      <x:c r="M155" s="64" t="n">
        <x:f>MAX('Growth Rules'!$B$8,ROUND(('Growth Rules'!$B$4+'Growth Rules'!$B$5*($K155-'Growth Rules'!$B$6))*(F155/($K155/6))^'Growth Rules'!$B$7,0))</x:f>
        <x:v>31</x:v>
      </x:c>
      <x:c r="N155" s="64" t="n">
        <x:f>MAX('Growth Rules'!$B$8,ROUND(('Growth Rules'!$B$4+'Growth Rules'!$B$5*($K155-'Growth Rules'!$B$6))*(G155/($K155/6))^'Growth Rules'!$B$7,0))</x:f>
        <x:v>31</x:v>
      </x:c>
      <x:c r="O155" s="64" t="n">
        <x:f>MAX('Growth Rules'!$B$8,ROUND(('Growth Rules'!$B$4+'Growth Rules'!$B$5*($K155-'Growth Rules'!$B$6))*(H155/($K155/6))^'Growth Rules'!$B$7,0))</x:f>
        <x:v>19</x:v>
      </x:c>
      <x:c r="P155" s="64" t="n">
        <x:f>MAX('Growth Rules'!$B$8,ROUND(('Growth Rules'!$B$4+'Growth Rules'!$B$5*($K155-'Growth Rules'!$B$6))*(I155/($K155/6))^'Growth Rules'!$B$7,0))</x:f>
        <x:v>39</x:v>
      </x:c>
      <x:c r="Q155" s="64" t="n">
        <x:f>MAX('Growth Rules'!$B$8,ROUND(('Growth Rules'!$B$4+'Growth Rules'!$B$5*($K155-'Growth Rules'!$B$6))*(J155/($K155/6))^'Growth Rules'!$B$7,0))</x:f>
        <x:v>56</x:v>
      </x:c>
      <x:c r="R155" s="66" t="n">
        <x:f>SUM(L155:Q155)/100</x:f>
        <x:v>2.01</x:v>
      </x:c>
      <x:c r="S155" s="62" t="str">
        <x:v>Longspurr; Elixirine</x:v>
      </x:c>
      <x:c r="T155" s="62" t="str">
        <x:v>ITEM; ITEM</x:v>
      </x:c>
      <x:c r="U155" s="62" t="str">
        <x:v>28; 28</x:v>
      </x:c>
      <x:c r="V155" s="62" t="str">
        <x:v>Trial Toxin; Saint's Tonic</x:v>
      </x:c>
      <x:c r="W155" s="62" t="str">
        <x:v>28; 28</x:v>
      </x:c>
      <x:c r="X155" s="62" t="str">
        <x:v>KEEP EXISTING / VALIDATED</x:v>
      </x:c>
      <x:c r="Y155" s="62" t="str">
        <x:v>Regional_Dex_Stats_and_Abilities_COMPLETE_v2.xlsx + Regional_Dex_Progression_Learnsets_v3.xlsx</x:v>
      </x:c>
    </x:row>
    <x:row r="156">
      <x:c r="A156" s="60" t="n">
        <x:v>153</x:v>
      </x:c>
      <x:c r="B156" s="62" t="str">
        <x:v>Longspurr</x:v>
      </x:c>
      <x:c r="C156" s="62" t="str">
        <x:v>Fighting</x:v>
      </x:c>
      <x:c r="D156" s="62" t="str">
        <x:v>Poison</x:v>
      </x:c>
      <x:c r="E156" s="60" t="n">
        <x:v>85</x:v>
      </x:c>
      <x:c r="F156" s="60" t="n">
        <x:v>100</x:v>
      </x:c>
      <x:c r="G156" s="60" t="n">
        <x:v>90</x:v>
      </x:c>
      <x:c r="H156" s="60" t="n">
        <x:v>50</x:v>
      </x:c>
      <x:c r="I156" s="60" t="n">
        <x:v>75</x:v>
      </x:c>
      <x:c r="J156" s="60" t="n">
        <x:v>100</x:v>
      </x:c>
      <x:c r="K156" s="60" t="n">
        <x:v>500</x:v>
      </x:c>
      <x:c r="L156" s="64" t="n">
        <x:f>MAX('Growth Rules'!$B$8,ROUND(('Growth Rules'!$B$4+'Growth Rules'!$B$5*($K156-'Growth Rules'!$B$6))*(E156/($K156/6))^'Growth Rules'!$B$7,0))</x:f>
        <x:v>46</x:v>
      </x:c>
      <x:c r="M156" s="64" t="n">
        <x:f>MAX('Growth Rules'!$B$8,ROUND(('Growth Rules'!$B$4+'Growth Rules'!$B$5*($K156-'Growth Rules'!$B$6))*(F156/($K156/6))^'Growth Rules'!$B$7,0))</x:f>
        <x:v>66</x:v>
      </x:c>
      <x:c r="N156" s="64" t="n">
        <x:f>MAX('Growth Rules'!$B$8,ROUND(('Growth Rules'!$B$4+'Growth Rules'!$B$5*($K156-'Growth Rules'!$B$6))*(G156/($K156/6))^'Growth Rules'!$B$7,0))</x:f>
        <x:v>52</x:v>
      </x:c>
      <x:c r="O156" s="64" t="n">
        <x:f>MAX('Growth Rules'!$B$8,ROUND(('Growth Rules'!$B$4+'Growth Rules'!$B$5*($K156-'Growth Rules'!$B$6))*(H156/($K156/6))^'Growth Rules'!$B$7,0))</x:f>
        <x:v>14</x:v>
      </x:c>
      <x:c r="P156" s="64" t="n">
        <x:f>MAX('Growth Rules'!$B$8,ROUND(('Growth Rules'!$B$4+'Growth Rules'!$B$5*($K156-'Growth Rules'!$B$6))*(I156/($K156/6))^'Growth Rules'!$B$7,0))</x:f>
        <x:v>35</x:v>
      </x:c>
      <x:c r="Q156" s="64" t="n">
        <x:f>MAX('Growth Rules'!$B$8,ROUND(('Growth Rules'!$B$4+'Growth Rules'!$B$5*($K156-'Growth Rules'!$B$6))*(J156/($K156/6))^'Growth Rules'!$B$7,0))</x:f>
        <x:v>66</x:v>
      </x:c>
      <x:c r="R156" s="66" t="n">
        <x:f>SUM(L156:Q156)/100</x:f>
        <x:v>2.79</x:v>
      </x:c>
      <x:c r="S156" s="62" t="str"/>
      <x:c r="T156" s="62" t="str"/>
      <x:c r="U156" s="62" t="str"/>
      <x:c r="V156" s="62" t="str"/>
      <x:c r="W156" s="62" t="str"/>
      <x:c r="X156" s="62" t="str"/>
      <x:c r="Y156" s="62" t="str">
        <x:v>Regional_Dex_Stats_and_Abilities_COMPLETE_v2.xlsx + Regional_Dex_Progression_Learnsets_v3.xlsx</x:v>
      </x:c>
    </x:row>
    <x:row r="157">
      <x:c r="A157" s="60" t="n">
        <x:v>154</x:v>
      </x:c>
      <x:c r="B157" s="62" t="str">
        <x:v>Elixirine</x:v>
      </x:c>
      <x:c r="C157" s="62" t="str">
        <x:v>Fairy</x:v>
      </x:c>
      <x:c r="D157" s="62" t="str">
        <x:v>Poison</x:v>
      </x:c>
      <x:c r="E157" s="60" t="n">
        <x:v>90</x:v>
      </x:c>
      <x:c r="F157" s="60" t="n">
        <x:v>50</x:v>
      </x:c>
      <x:c r="G157" s="60" t="n">
        <x:v>75</x:v>
      </x:c>
      <x:c r="H157" s="60" t="n">
        <x:v>85</x:v>
      </x:c>
      <x:c r="I157" s="60" t="n">
        <x:v>100</x:v>
      </x:c>
      <x:c r="J157" s="60" t="n">
        <x:v>100</x:v>
      </x:c>
      <x:c r="K157" s="60" t="n">
        <x:v>500</x:v>
      </x:c>
      <x:c r="L157" s="64" t="n">
        <x:f>MAX('Growth Rules'!$B$8,ROUND(('Growth Rules'!$B$4+'Growth Rules'!$B$5*($K157-'Growth Rules'!$B$6))*(E157/($K157/6))^'Growth Rules'!$B$7,0))</x:f>
        <x:v>52</x:v>
      </x:c>
      <x:c r="M157" s="64" t="n">
        <x:f>MAX('Growth Rules'!$B$8,ROUND(('Growth Rules'!$B$4+'Growth Rules'!$B$5*($K157-'Growth Rules'!$B$6))*(F157/($K157/6))^'Growth Rules'!$B$7,0))</x:f>
        <x:v>14</x:v>
      </x:c>
      <x:c r="N157" s="64" t="n">
        <x:f>MAX('Growth Rules'!$B$8,ROUND(('Growth Rules'!$B$4+'Growth Rules'!$B$5*($K157-'Growth Rules'!$B$6))*(G157/($K157/6))^'Growth Rules'!$B$7,0))</x:f>
        <x:v>35</x:v>
      </x:c>
      <x:c r="O157" s="64" t="n">
        <x:f>MAX('Growth Rules'!$B$8,ROUND(('Growth Rules'!$B$4+'Growth Rules'!$B$5*($K157-'Growth Rules'!$B$6))*(H157/($K157/6))^'Growth Rules'!$B$7,0))</x:f>
        <x:v>46</x:v>
      </x:c>
      <x:c r="P157" s="64" t="n">
        <x:f>MAX('Growth Rules'!$B$8,ROUND(('Growth Rules'!$B$4+'Growth Rules'!$B$5*($K157-'Growth Rules'!$B$6))*(I157/($K157/6))^'Growth Rules'!$B$7,0))</x:f>
        <x:v>66</x:v>
      </x:c>
      <x:c r="Q157" s="64" t="n">
        <x:f>MAX('Growth Rules'!$B$8,ROUND(('Growth Rules'!$B$4+'Growth Rules'!$B$5*($K157-'Growth Rules'!$B$6))*(J157/($K157/6))^'Growth Rules'!$B$7,0))</x:f>
        <x:v>66</x:v>
      </x:c>
      <x:c r="R157" s="66" t="n">
        <x:f>SUM(L157:Q157)/100</x:f>
        <x:v>2.79</x:v>
      </x:c>
      <x:c r="S157" s="62" t="str"/>
      <x:c r="T157" s="62" t="str"/>
      <x:c r="U157" s="62" t="str"/>
      <x:c r="V157" s="62" t="str"/>
      <x:c r="W157" s="62" t="str"/>
      <x:c r="X157" s="62" t="str"/>
      <x:c r="Y157" s="62" t="str">
        <x:v>Regional_Dex_Stats_and_Abilities_COMPLETE_v2.xlsx + Regional_Dex_Progression_Learnsets_v3.xlsx</x:v>
      </x:c>
    </x:row>
    <x:row r="158">
      <x:c r="A158" s="60" t="n">
        <x:v>155</x:v>
      </x:c>
      <x:c r="B158" s="62" t="str">
        <x:v>Lanspup</x:v>
      </x:c>
      <x:c r="C158" s="62" t="str">
        <x:v>Fighting</x:v>
      </x:c>
      <x:c r="D158" s="62" t="str"/>
      <x:c r="E158" s="60" t="n">
        <x:v>45</x:v>
      </x:c>
      <x:c r="F158" s="60" t="n">
        <x:v>70</x:v>
      </x:c>
      <x:c r="G158" s="60" t="n">
        <x:v>35</x:v>
      </x:c>
      <x:c r="H158" s="60" t="n">
        <x:v>35</x:v>
      </x:c>
      <x:c r="I158" s="60" t="n">
        <x:v>45</x:v>
      </x:c>
      <x:c r="J158" s="60" t="n">
        <x:v>70</x:v>
      </x:c>
      <x:c r="K158" s="60" t="n">
        <x:v>300</x:v>
      </x:c>
      <x:c r="L158" s="64" t="n">
        <x:f>MAX('Growth Rules'!$B$8,ROUND(('Growth Rules'!$B$4+'Growth Rules'!$B$5*($K158-'Growth Rules'!$B$6))*(E158/($K158/6))^'Growth Rules'!$B$7,0))</x:f>
        <x:v>25</x:v>
      </x:c>
      <x:c r="M158" s="64" t="n">
        <x:f>MAX('Growth Rules'!$B$8,ROUND(('Growth Rules'!$B$4+'Growth Rules'!$B$5*($K158-'Growth Rules'!$B$6))*(F158/($K158/6))^'Growth Rules'!$B$7,0))</x:f>
        <x:v>68</x:v>
      </x:c>
      <x:c r="N158" s="64" t="n">
        <x:f>MAX('Growth Rules'!$B$8,ROUND(('Growth Rules'!$B$4+'Growth Rules'!$B$5*($K158-'Growth Rules'!$B$6))*(G158/($K158/6))^'Growth Rules'!$B$7,0))</x:f>
        <x:v>14</x:v>
      </x:c>
      <x:c r="O158" s="64" t="n">
        <x:f>MAX('Growth Rules'!$B$8,ROUND(('Growth Rules'!$B$4+'Growth Rules'!$B$5*($K158-'Growth Rules'!$B$6))*(H158/($K158/6))^'Growth Rules'!$B$7,0))</x:f>
        <x:v>14</x:v>
      </x:c>
      <x:c r="P158" s="64" t="n">
        <x:f>MAX('Growth Rules'!$B$8,ROUND(('Growth Rules'!$B$4+'Growth Rules'!$B$5*($K158-'Growth Rules'!$B$6))*(I158/($K158/6))^'Growth Rules'!$B$7,0))</x:f>
        <x:v>25</x:v>
      </x:c>
      <x:c r="Q158" s="64" t="n">
        <x:f>MAX('Growth Rules'!$B$8,ROUND(('Growth Rules'!$B$4+'Growth Rules'!$B$5*($K158-'Growth Rules'!$B$6))*(J158/($K158/6))^'Growth Rules'!$B$7,0))</x:f>
        <x:v>68</x:v>
      </x:c>
      <x:c r="R158" s="66" t="n">
        <x:f>SUM(L158:Q158)/100</x:f>
        <x:v>2.14</x:v>
      </x:c>
      <x:c r="S158" s="62" t="str">
        <x:v>Dirgehound</x:v>
      </x:c>
      <x:c r="T158" s="62" t="str">
        <x:v>LEVEL</x:v>
      </x:c>
      <x:c r="U158" s="62" t="str">
        <x:v>26</x:v>
      </x:c>
      <x:c r="V158" s="62" t="str"/>
      <x:c r="W158" s="62" t="str">
        <x:v>26</x:v>
      </x:c>
      <x:c r="X158" s="62" t="str">
        <x:v>KEEP EXISTING / VALIDATED</x:v>
      </x:c>
      <x:c r="Y158" s="62" t="str">
        <x:v>Regional_Dex_Stats_and_Abilities_COMPLETE_v2.xlsx + Regional_Dex_Progression_Learnsets_v3.xlsx</x:v>
      </x:c>
    </x:row>
    <x:row r="159">
      <x:c r="A159" s="60" t="n">
        <x:v>156</x:v>
      </x:c>
      <x:c r="B159" s="62" t="str">
        <x:v>Dirgehound</x:v>
      </x:c>
      <x:c r="C159" s="62" t="str">
        <x:v>Fighting</x:v>
      </x:c>
      <x:c r="D159" s="62" t="str">
        <x:v>Ghost</x:v>
      </x:c>
      <x:c r="E159" s="60" t="n">
        <x:v>75</x:v>
      </x:c>
      <x:c r="F159" s="60" t="n">
        <x:v>105</x:v>
      </x:c>
      <x:c r="G159" s="60" t="n">
        <x:v>60</x:v>
      </x:c>
      <x:c r="H159" s="60" t="n">
        <x:v>60</x:v>
      </x:c>
      <x:c r="I159" s="60" t="n">
        <x:v>75</x:v>
      </x:c>
      <x:c r="J159" s="60" t="n">
        <x:v>130</x:v>
      </x:c>
      <x:c r="K159" s="60" t="n">
        <x:v>505</x:v>
      </x:c>
      <x:c r="L159" s="64" t="n">
        <x:f>MAX('Growth Rules'!$B$8,ROUND(('Growth Rules'!$B$4+'Growth Rules'!$B$5*($K159-'Growth Rules'!$B$6))*(E159/($K159/6))^'Growth Rules'!$B$7,0))</x:f>
        <x:v>34</x:v>
      </x:c>
      <x:c r="M159" s="64" t="n">
        <x:f>MAX('Growth Rules'!$B$8,ROUND(('Growth Rules'!$B$4+'Growth Rules'!$B$5*($K159-'Growth Rules'!$B$6))*(F159/($K159/6))^'Growth Rules'!$B$7,0))</x:f>
        <x:v>73</x:v>
      </x:c>
      <x:c r="N159" s="64" t="n">
        <x:f>MAX('Growth Rules'!$B$8,ROUND(('Growth Rules'!$B$4+'Growth Rules'!$B$5*($K159-'Growth Rules'!$B$6))*(G159/($K159/6))^'Growth Rules'!$B$7,0))</x:f>
        <x:v>21</x:v>
      </x:c>
      <x:c r="O159" s="64" t="n">
        <x:f>MAX('Growth Rules'!$B$8,ROUND(('Growth Rules'!$B$4+'Growth Rules'!$B$5*($K159-'Growth Rules'!$B$6))*(H159/($K159/6))^'Growth Rules'!$B$7,0))</x:f>
        <x:v>21</x:v>
      </x:c>
      <x:c r="P159" s="64" t="n">
        <x:f>MAX('Growth Rules'!$B$8,ROUND(('Growth Rules'!$B$4+'Growth Rules'!$B$5*($K159-'Growth Rules'!$B$6))*(I159/($K159/6))^'Growth Rules'!$B$7,0))</x:f>
        <x:v>34</x:v>
      </x:c>
      <x:c r="Q159" s="64" t="n">
        <x:f>MAX('Growth Rules'!$B$8,ROUND(('Growth Rules'!$B$4+'Growth Rules'!$B$5*($K159-'Growth Rules'!$B$6))*(J159/($K159/6))^'Growth Rules'!$B$7,0))</x:f>
        <x:v>118</x:v>
      </x:c>
      <x:c r="R159" s="66" t="n">
        <x:f>SUM(L159:Q159)/100</x:f>
        <x:v>3.01</x:v>
      </x:c>
      <x:c r="S159" s="62" t="str"/>
      <x:c r="T159" s="62" t="str"/>
      <x:c r="U159" s="62" t="str"/>
      <x:c r="V159" s="62" t="str"/>
      <x:c r="W159" s="62" t="str"/>
      <x:c r="X159" s="62" t="str"/>
      <x:c r="Y159" s="62" t="str">
        <x:v>Regional_Dex_Stats_and_Abilities_COMPLETE_v2.xlsx + Regional_Dex_Progression_Learnsets_v3.xlsx</x:v>
      </x:c>
    </x:row>
    <x:row r="160">
      <x:c r="A160" s="60" t="n">
        <x:v>157</x:v>
      </x:c>
      <x:c r="B160" s="62" t="str">
        <x:v>Choughlet</x:v>
      </x:c>
      <x:c r="C160" s="62" t="str">
        <x:v>Rock</x:v>
      </x:c>
      <x:c r="D160" s="62" t="str"/>
      <x:c r="E160" s="60" t="n">
        <x:v>40</x:v>
      </x:c>
      <x:c r="F160" s="60" t="n">
        <x:v>50</x:v>
      </x:c>
      <x:c r="G160" s="60" t="n">
        <x:v>50</x:v>
      </x:c>
      <x:c r="H160" s="60" t="n">
        <x:v>40</x:v>
      </x:c>
      <x:c r="I160" s="60" t="n">
        <x:v>50</x:v>
      </x:c>
      <x:c r="J160" s="60" t="n">
        <x:v>65</x:v>
      </x:c>
      <x:c r="K160" s="60" t="n">
        <x:v>295</x:v>
      </x:c>
      <x:c r="L160" s="64" t="n">
        <x:f>MAX('Growth Rules'!$B$8,ROUND(('Growth Rules'!$B$4+'Growth Rules'!$B$5*($K160-'Growth Rules'!$B$6))*(E160/($K160/6))^'Growth Rules'!$B$7,0))</x:f>
        <x:v>20</x:v>
      </x:c>
      <x:c r="M160" s="64" t="n">
        <x:f>MAX('Growth Rules'!$B$8,ROUND(('Growth Rules'!$B$4+'Growth Rules'!$B$5*($K160-'Growth Rules'!$B$6))*(F160/($K160/6))^'Growth Rules'!$B$7,0))</x:f>
        <x:v>33</x:v>
      </x:c>
      <x:c r="N160" s="64" t="n">
        <x:f>MAX('Growth Rules'!$B$8,ROUND(('Growth Rules'!$B$4+'Growth Rules'!$B$5*($K160-'Growth Rules'!$B$6))*(G160/($K160/6))^'Growth Rules'!$B$7,0))</x:f>
        <x:v>33</x:v>
      </x:c>
      <x:c r="O160" s="64" t="n">
        <x:f>MAX('Growth Rules'!$B$8,ROUND(('Growth Rules'!$B$4+'Growth Rules'!$B$5*($K160-'Growth Rules'!$B$6))*(H160/($K160/6))^'Growth Rules'!$B$7,0))</x:f>
        <x:v>20</x:v>
      </x:c>
      <x:c r="P160" s="64" t="n">
        <x:f>MAX('Growth Rules'!$B$8,ROUND(('Growth Rules'!$B$4+'Growth Rules'!$B$5*($K160-'Growth Rules'!$B$6))*(I160/($K160/6))^'Growth Rules'!$B$7,0))</x:f>
        <x:v>33</x:v>
      </x:c>
      <x:c r="Q160" s="64" t="n">
        <x:f>MAX('Growth Rules'!$B$8,ROUND(('Growth Rules'!$B$4+'Growth Rules'!$B$5*($K160-'Growth Rules'!$B$6))*(J160/($K160/6))^'Growth Rules'!$B$7,0))</x:f>
        <x:v>59</x:v>
      </x:c>
      <x:c r="R160" s="66" t="n">
        <x:f>SUM(L160:Q160)/100</x:f>
        <x:v>1.98</x:v>
      </x:c>
      <x:c r="S160" s="62" t="str">
        <x:v>Ascalough</x:v>
      </x:c>
      <x:c r="T160" s="62" t="str">
        <x:v>LEVEL</x:v>
      </x:c>
      <x:c r="U160" s="62" t="str">
        <x:v>26</x:v>
      </x:c>
      <x:c r="V160" s="62" t="str"/>
      <x:c r="W160" s="62" t="str">
        <x:v>26</x:v>
      </x:c>
      <x:c r="X160" s="62" t="str">
        <x:v>KEEP EXISTING / VALIDATED</x:v>
      </x:c>
      <x:c r="Y160" s="62" t="str">
        <x:v>Regional_Dex_Stats_and_Abilities_COMPLETE_v2.xlsx + Regional_Dex_Progression_Learnsets_v3.xlsx</x:v>
      </x:c>
    </x:row>
    <x:row r="161">
      <x:c r="A161" s="60" t="n">
        <x:v>158</x:v>
      </x:c>
      <x:c r="B161" s="62" t="str">
        <x:v>Ascalough</x:v>
      </x:c>
      <x:c r="C161" s="62" t="str">
        <x:v>Rock</x:v>
      </x:c>
      <x:c r="D161" s="62" t="str">
        <x:v>Steel</x:v>
      </x:c>
      <x:c r="E161" s="60" t="n">
        <x:v>70</x:v>
      </x:c>
      <x:c r="F161" s="60" t="n">
        <x:v>80</x:v>
      </x:c>
      <x:c r="G161" s="60" t="n">
        <x:v>95</x:v>
      </x:c>
      <x:c r="H161" s="60" t="n">
        <x:v>70</x:v>
      </x:c>
      <x:c r="I161" s="60" t="n">
        <x:v>90</x:v>
      </x:c>
      <x:c r="J161" s="60" t="n">
        <x:v>90</x:v>
      </x:c>
      <x:c r="K161" s="60" t="n">
        <x:v>495</x:v>
      </x:c>
      <x:c r="L161" s="64" t="n">
        <x:f>MAX('Growth Rules'!$B$8,ROUND(('Growth Rules'!$B$4+'Growth Rules'!$B$5*($K161-'Growth Rules'!$B$6))*(E161/($K161/6))^'Growth Rules'!$B$7,0))</x:f>
        <x:v>30</x:v>
      </x:c>
      <x:c r="M161" s="64" t="n">
        <x:f>MAX('Growth Rules'!$B$8,ROUND(('Growth Rules'!$B$4+'Growth Rules'!$B$5*($K161-'Growth Rules'!$B$6))*(F161/($K161/6))^'Growth Rules'!$B$7,0))</x:f>
        <x:v>41</x:v>
      </x:c>
      <x:c r="N161" s="64" t="n">
        <x:f>MAX('Growth Rules'!$B$8,ROUND(('Growth Rules'!$B$4+'Growth Rules'!$B$5*($K161-'Growth Rules'!$B$6))*(G161/($K161/6))^'Growth Rules'!$B$7,0))</x:f>
        <x:v>60</x:v>
      </x:c>
      <x:c r="O161" s="64" t="n">
        <x:f>MAX('Growth Rules'!$B$8,ROUND(('Growth Rules'!$B$4+'Growth Rules'!$B$5*($K161-'Growth Rules'!$B$6))*(H161/($K161/6))^'Growth Rules'!$B$7,0))</x:f>
        <x:v>30</x:v>
      </x:c>
      <x:c r="P161" s="64" t="n">
        <x:f>MAX('Growth Rules'!$B$8,ROUND(('Growth Rules'!$B$4+'Growth Rules'!$B$5*($K161-'Growth Rules'!$B$6))*(I161/($K161/6))^'Growth Rules'!$B$7,0))</x:f>
        <x:v>53</x:v>
      </x:c>
      <x:c r="Q161" s="64" t="n">
        <x:f>MAX('Growth Rules'!$B$8,ROUND(('Growth Rules'!$B$4+'Growth Rules'!$B$5*($K161-'Growth Rules'!$B$6))*(J161/($K161/6))^'Growth Rules'!$B$7,0))</x:f>
        <x:v>53</x:v>
      </x:c>
      <x:c r="R161" s="66" t="n">
        <x:f>SUM(L161:Q161)/100</x:f>
        <x:v>2.67</x:v>
      </x:c>
      <x:c r="S161" s="62" t="str"/>
      <x:c r="T161" s="62" t="str"/>
      <x:c r="U161" s="62" t="str"/>
      <x:c r="V161" s="62" t="str"/>
      <x:c r="W161" s="62" t="str"/>
      <x:c r="X161" s="62" t="str"/>
      <x:c r="Y161" s="62" t="str">
        <x:v>Regional_Dex_Stats_and_Abilities_COMPLETE_v2.xlsx + Regional_Dex_Progression_Learnsets_v3.xlsx</x:v>
      </x:c>
    </x:row>
    <x:row r="162">
      <x:c r="A162" s="60" t="n">
        <x:v>159</x:v>
      </x:c>
      <x:c r="B162" s="62" t="str">
        <x:v>Tempestrel</x:v>
      </x:c>
      <x:c r="C162" s="62" t="str">
        <x:v>Ghost</x:v>
      </x:c>
      <x:c r="D162" s="62" t="str">
        <x:v>Electric</x:v>
      </x:c>
      <x:c r="E162" s="60" t="n">
        <x:v>60</x:v>
      </x:c>
      <x:c r="F162" s="60" t="n">
        <x:v>50</x:v>
      </x:c>
      <x:c r="G162" s="60" t="n">
        <x:v>60</x:v>
      </x:c>
      <x:c r="H162" s="60" t="n">
        <x:v>100</x:v>
      </x:c>
      <x:c r="I162" s="60" t="n">
        <x:v>100</x:v>
      </x:c>
      <x:c r="J162" s="60" t="n">
        <x:v>125</x:v>
      </x:c>
      <x:c r="K162" s="60" t="n">
        <x:v>495</x:v>
      </x:c>
      <x:c r="L162" s="64" t="n">
        <x:f>MAX('Growth Rules'!$B$8,ROUND(('Growth Rules'!$B$4+'Growth Rules'!$B$5*($K162-'Growth Rules'!$B$6))*(E162/($K162/6))^'Growth Rules'!$B$7,0))</x:f>
        <x:v>21</x:v>
      </x:c>
      <x:c r="M162" s="64" t="n">
        <x:f>MAX('Growth Rules'!$B$8,ROUND(('Growth Rules'!$B$4+'Growth Rules'!$B$5*($K162-'Growth Rules'!$B$6))*(F162/($K162/6))^'Growth Rules'!$B$7,0))</x:f>
        <x:v>14</x:v>
      </x:c>
      <x:c r="N162" s="64" t="n">
        <x:f>MAX('Growth Rules'!$B$8,ROUND(('Growth Rules'!$B$4+'Growth Rules'!$B$5*($K162-'Growth Rules'!$B$6))*(G162/($K162/6))^'Growth Rules'!$B$7,0))</x:f>
        <x:v>21</x:v>
      </x:c>
      <x:c r="O162" s="64" t="n">
        <x:f>MAX('Growth Rules'!$B$8,ROUND(('Growth Rules'!$B$4+'Growth Rules'!$B$5*($K162-'Growth Rules'!$B$6))*(H162/($K162/6))^'Growth Rules'!$B$7,0))</x:f>
        <x:v>67</x:v>
      </x:c>
      <x:c r="P162" s="64" t="n">
        <x:f>MAX('Growth Rules'!$B$8,ROUND(('Growth Rules'!$B$4+'Growth Rules'!$B$5*($K162-'Growth Rules'!$B$6))*(I162/($K162/6))^'Growth Rules'!$B$7,0))</x:f>
        <x:v>67</x:v>
      </x:c>
      <x:c r="Q162" s="64" t="n">
        <x:f>MAX('Growth Rules'!$B$8,ROUND(('Growth Rules'!$B$4+'Growth Rules'!$B$5*($K162-'Growth Rules'!$B$6))*(J162/($K162/6))^'Growth Rules'!$B$7,0))</x:f>
        <x:v>111</x:v>
      </x:c>
      <x:c r="R162" s="66" t="n">
        <x:f>SUM(L162:Q162)/100</x:f>
        <x:v>3.01</x:v>
      </x:c>
      <x:c r="S162" s="62" t="str"/>
      <x:c r="T162" s="62" t="str"/>
      <x:c r="U162" s="62" t="str"/>
      <x:c r="V162" s="62" t="str"/>
      <x:c r="W162" s="62" t="str"/>
      <x:c r="X162" s="62" t="str"/>
      <x:c r="Y162" s="62" t="str">
        <x:v>Regional_Dex_Stats_and_Abilities_COMPLETE_v2.xlsx + Regional_Dex_Progression_Learnsets_v3.xlsx</x:v>
      </x:c>
    </x:row>
    <x:row r="163">
      <x:c r="A163" s="60" t="n">
        <x:v>160</x:v>
      </x:c>
      <x:c r="B163" s="62" t="str">
        <x:v>Vowcolt</x:v>
      </x:c>
      <x:c r="C163" s="62" t="str">
        <x:v>Normal</x:v>
      </x:c>
      <x:c r="D163" s="62" t="str"/>
      <x:c r="E163" s="60" t="n">
        <x:v>60</x:v>
      </x:c>
      <x:c r="F163" s="60" t="n">
        <x:v>50</x:v>
      </x:c>
      <x:c r="G163" s="60" t="n">
        <x:v>50</x:v>
      </x:c>
      <x:c r="H163" s="60" t="n">
        <x:v>30</x:v>
      </x:c>
      <x:c r="I163" s="60" t="n">
        <x:v>55</x:v>
      </x:c>
      <x:c r="J163" s="60" t="n">
        <x:v>60</x:v>
      </x:c>
      <x:c r="K163" s="60" t="n">
        <x:v>305</x:v>
      </x:c>
      <x:c r="L163" s="64" t="n">
        <x:f>MAX('Growth Rules'!$B$8,ROUND(('Growth Rules'!$B$4+'Growth Rules'!$B$5*($K163-'Growth Rules'!$B$6))*(E163/($K163/6))^'Growth Rules'!$B$7,0))</x:f>
        <x:v>47</x:v>
      </x:c>
      <x:c r="M163" s="64" t="n">
        <x:f>MAX('Growth Rules'!$B$8,ROUND(('Growth Rules'!$B$4+'Growth Rules'!$B$5*($K163-'Growth Rules'!$B$6))*(F163/($K163/6))^'Growth Rules'!$B$7,0))</x:f>
        <x:v>31</x:v>
      </x:c>
      <x:c r="N163" s="64" t="n">
        <x:f>MAX('Growth Rules'!$B$8,ROUND(('Growth Rules'!$B$4+'Growth Rules'!$B$5*($K163-'Growth Rules'!$B$6))*(G163/($K163/6))^'Growth Rules'!$B$7,0))</x:f>
        <x:v>31</x:v>
      </x:c>
      <x:c r="O163" s="64" t="n">
        <x:f>MAX('Growth Rules'!$B$8,ROUND(('Growth Rules'!$B$4+'Growth Rules'!$B$5*($K163-'Growth Rules'!$B$6))*(H163/($K163/6))^'Growth Rules'!$B$7,0))</x:f>
        <x:v>10</x:v>
      </x:c>
      <x:c r="P163" s="64" t="n">
        <x:f>MAX('Growth Rules'!$B$8,ROUND(('Growth Rules'!$B$4+'Growth Rules'!$B$5*($K163-'Growth Rules'!$B$6))*(I163/($K163/6))^'Growth Rules'!$B$7,0))</x:f>
        <x:v>39</x:v>
      </x:c>
      <x:c r="Q163" s="64" t="n">
        <x:f>MAX('Growth Rules'!$B$8,ROUND(('Growth Rules'!$B$4+'Growth Rules'!$B$5*($K163-'Growth Rules'!$B$6))*(J163/($K163/6))^'Growth Rules'!$B$7,0))</x:f>
        <x:v>47</x:v>
      </x:c>
      <x:c r="R163" s="66" t="n">
        <x:f>SUM(L163:Q163)/100</x:f>
        <x:v>2.05</x:v>
      </x:c>
      <x:c r="S163" s="62" t="str">
        <x:v>Oathcourser</x:v>
      </x:c>
      <x:c r="T163" s="62" t="str">
        <x:v>LEVEL</x:v>
      </x:c>
      <x:c r="U163" s="62" t="str">
        <x:v>26</x:v>
      </x:c>
      <x:c r="V163" s="62" t="str"/>
      <x:c r="W163" s="62" t="str">
        <x:v>26</x:v>
      </x:c>
      <x:c r="X163" s="62" t="str">
        <x:v>KEEP EXISTING / VALIDATED</x:v>
      </x:c>
      <x:c r="Y163" s="62" t="str">
        <x:v>Regional_Dex_Stats_and_Abilities_COMPLETE_v2.xlsx + Regional_Dex_Progression_Learnsets_v3.xlsx</x:v>
      </x:c>
    </x:row>
    <x:row r="164">
      <x:c r="A164" s="60" t="n">
        <x:v>161</x:v>
      </x:c>
      <x:c r="B164" s="62" t="str">
        <x:v>Oathcourser</x:v>
      </x:c>
      <x:c r="C164" s="62" t="str">
        <x:v>Normal</x:v>
      </x:c>
      <x:c r="D164" s="62" t="str">
        <x:v>Ghost</x:v>
      </x:c>
      <x:c r="E164" s="60" t="n">
        <x:v>95</x:v>
      </x:c>
      <x:c r="F164" s="60" t="n">
        <x:v>95</x:v>
      </x:c>
      <x:c r="G164" s="60" t="n">
        <x:v>80</x:v>
      </x:c>
      <x:c r="H164" s="60" t="n">
        <x:v>45</x:v>
      </x:c>
      <x:c r="I164" s="60" t="n">
        <x:v>95</x:v>
      </x:c>
      <x:c r="J164" s="60" t="n">
        <x:v>95</x:v>
      </x:c>
      <x:c r="K164" s="60" t="n">
        <x:v>505</x:v>
      </x:c>
      <x:c r="L164" s="64" t="n">
        <x:f>MAX('Growth Rules'!$B$8,ROUND(('Growth Rules'!$B$4+'Growth Rules'!$B$5*($K164-'Growth Rules'!$B$6))*(E164/($K164/6))^'Growth Rules'!$B$7,0))</x:f>
        <x:v>58</x:v>
      </x:c>
      <x:c r="M164" s="64" t="n">
        <x:f>MAX('Growth Rules'!$B$8,ROUND(('Growth Rules'!$B$4+'Growth Rules'!$B$5*($K164-'Growth Rules'!$B$6))*(F164/($K164/6))^'Growth Rules'!$B$7,0))</x:f>
        <x:v>58</x:v>
      </x:c>
      <x:c r="N164" s="64" t="n">
        <x:f>MAX('Growth Rules'!$B$8,ROUND(('Growth Rules'!$B$4+'Growth Rules'!$B$5*($K164-'Growth Rules'!$B$6))*(G164/($K164/6))^'Growth Rules'!$B$7,0))</x:f>
        <x:v>40</x:v>
      </x:c>
      <x:c r="O164" s="64" t="n">
        <x:f>MAX('Growth Rules'!$B$8,ROUND(('Growth Rules'!$B$4+'Growth Rules'!$B$5*($K164-'Growth Rules'!$B$6))*(H164/($K164/6))^'Growth Rules'!$B$7,0))</x:f>
        <x:v>11</x:v>
      </x:c>
      <x:c r="P164" s="64" t="n">
        <x:f>MAX('Growth Rules'!$B$8,ROUND(('Growth Rules'!$B$4+'Growth Rules'!$B$5*($K164-'Growth Rules'!$B$6))*(I164/($K164/6))^'Growth Rules'!$B$7,0))</x:f>
        <x:v>58</x:v>
      </x:c>
      <x:c r="Q164" s="64" t="n">
        <x:f>MAX('Growth Rules'!$B$8,ROUND(('Growth Rules'!$B$4+'Growth Rules'!$B$5*($K164-'Growth Rules'!$B$6))*(J164/($K164/6))^'Growth Rules'!$B$7,0))</x:f>
        <x:v>58</x:v>
      </x:c>
      <x:c r="R164" s="66" t="n">
        <x:f>SUM(L164:Q164)/100</x:f>
        <x:v>2.83</x:v>
      </x:c>
      <x:c r="S164" s="62" t="str"/>
      <x:c r="T164" s="62" t="str"/>
      <x:c r="U164" s="62" t="str"/>
      <x:c r="V164" s="62" t="str"/>
      <x:c r="W164" s="62" t="str"/>
      <x:c r="X164" s="62" t="str"/>
      <x:c r="Y164" s="62" t="str">
        <x:v>Regional_Dex_Stats_and_Abilities_COMPLETE_v2.xlsx + Regional_Dex_Progression_Learnsets_v3.xlsx</x:v>
      </x:c>
    </x:row>
    <x:row r="165">
      <x:c r="A165" s="60" t="n">
        <x:v>162</x:v>
      </x:c>
      <x:c r="B165" s="62" t="str">
        <x:v>Chantlet</x:v>
      </x:c>
      <x:c r="C165" s="62" t="str">
        <x:v>Normal</x:v>
      </x:c>
      <x:c r="D165" s="62" t="str"/>
      <x:c r="E165" s="60" t="n">
        <x:v>30</x:v>
      </x:c>
      <x:c r="F165" s="60" t="n">
        <x:v>40</x:v>
      </x:c>
      <x:c r="G165" s="60" t="n">
        <x:v>35</x:v>
      </x:c>
      <x:c r="H165" s="60" t="n">
        <x:v>60</x:v>
      </x:c>
      <x:c r="I165" s="60" t="n">
        <x:v>50</x:v>
      </x:c>
      <x:c r="J165" s="60" t="n">
        <x:v>70</x:v>
      </x:c>
      <x:c r="K165" s="60" t="n">
        <x:v>285</x:v>
      </x:c>
      <x:c r="L165" s="64" t="n">
        <x:f>MAX('Growth Rules'!$B$8,ROUND(('Growth Rules'!$B$4+'Growth Rules'!$B$5*($K165-'Growth Rules'!$B$6))*(E165/($K165/6))^'Growth Rules'!$B$7,0))</x:f>
        <x:v>11</x:v>
      </x:c>
      <x:c r="M165" s="64" t="n">
        <x:f>MAX('Growth Rules'!$B$8,ROUND(('Growth Rules'!$B$4+'Growth Rules'!$B$5*($K165-'Growth Rules'!$B$6))*(F165/($K165/6))^'Growth Rules'!$B$7,0))</x:f>
        <x:v>21</x:v>
      </x:c>
      <x:c r="N165" s="64" t="n">
        <x:f>MAX('Growth Rules'!$B$8,ROUND(('Growth Rules'!$B$4+'Growth Rules'!$B$5*($K165-'Growth Rules'!$B$6))*(G165/($K165/6))^'Growth Rules'!$B$7,0))</x:f>
        <x:v>16</x:v>
      </x:c>
      <x:c r="O165" s="64" t="n">
        <x:f>MAX('Growth Rules'!$B$8,ROUND(('Growth Rules'!$B$4+'Growth Rules'!$B$5*($K165-'Growth Rules'!$B$6))*(H165/($K165/6))^'Growth Rules'!$B$7,0))</x:f>
        <x:v>53</x:v>
      </x:c>
      <x:c r="P165" s="64" t="n">
        <x:f>MAX('Growth Rules'!$B$8,ROUND(('Growth Rules'!$B$4+'Growth Rules'!$B$5*($K165-'Growth Rules'!$B$6))*(I165/($K165/6))^'Growth Rules'!$B$7,0))</x:f>
        <x:v>35</x:v>
      </x:c>
      <x:c r="Q165" s="64" t="n">
        <x:f>MAX('Growth Rules'!$B$8,ROUND(('Growth Rules'!$B$4+'Growth Rules'!$B$5*($K165-'Growth Rules'!$B$6))*(J165/($K165/6))^'Growth Rules'!$B$7,0))</x:f>
        <x:v>74</x:v>
      </x:c>
      <x:c r="R165" s="66" t="n">
        <x:f>SUM(L165:Q165)/100</x:f>
        <x:v>2.1</x:v>
      </x:c>
      <x:c r="S165" s="62" t="str">
        <x:v>Sarumoss</x:v>
      </x:c>
      <x:c r="T165" s="62" t="str">
        <x:v>LEVEL</x:v>
      </x:c>
      <x:c r="U165" s="62" t="str">
        <x:v>26</x:v>
      </x:c>
      <x:c r="V165" s="62" t="str"/>
      <x:c r="W165" s="62" t="str">
        <x:v>26</x:v>
      </x:c>
      <x:c r="X165" s="62" t="str">
        <x:v>KEEP EXISTING / VALIDATED</x:v>
      </x:c>
      <x:c r="Y165" s="62" t="str">
        <x:v>Regional_Dex_Stats_and_Abilities_COMPLETE_v2.xlsx + Regional_Dex_Progression_Learnsets_v3.xlsx</x:v>
      </x:c>
    </x:row>
    <x:row r="166">
      <x:c r="A166" s="60" t="n">
        <x:v>163</x:v>
      </x:c>
      <x:c r="B166" s="62" t="str">
        <x:v>Sarumoss</x:v>
      </x:c>
      <x:c r="C166" s="62" t="str">
        <x:v>Normal</x:v>
      </x:c>
      <x:c r="D166" s="62" t="str">
        <x:v>Grass</x:v>
      </x:c>
      <x:c r="E166" s="60" t="n">
        <x:v>70</x:v>
      </x:c>
      <x:c r="F166" s="60" t="n">
        <x:v>55</x:v>
      </x:c>
      <x:c r="G166" s="60" t="n">
        <x:v>70</x:v>
      </x:c>
      <x:c r="H166" s="60" t="n">
        <x:v>95</x:v>
      </x:c>
      <x:c r="I166" s="60" t="n">
        <x:v>95</x:v>
      </x:c>
      <x:c r="J166" s="60" t="n">
        <x:v>95</x:v>
      </x:c>
      <x:c r="K166" s="60" t="n">
        <x:v>480</x:v>
      </x:c>
      <x:c r="L166" s="64" t="n">
        <x:f>MAX('Growth Rules'!$B$8,ROUND(('Growth Rules'!$B$4+'Growth Rules'!$B$5*($K166-'Growth Rules'!$B$6))*(E166/($K166/6))^'Growth Rules'!$B$7,0))</x:f>
        <x:v>32</x:v>
      </x:c>
      <x:c r="M166" s="64" t="n">
        <x:f>MAX('Growth Rules'!$B$8,ROUND(('Growth Rules'!$B$4+'Growth Rules'!$B$5*($K166-'Growth Rules'!$B$6))*(F166/($K166/6))^'Growth Rules'!$B$7,0))</x:f>
        <x:v>18</x:v>
      </x:c>
      <x:c r="N166" s="64" t="n">
        <x:f>MAX('Growth Rules'!$B$8,ROUND(('Growth Rules'!$B$4+'Growth Rules'!$B$5*($K166-'Growth Rules'!$B$6))*(G166/($K166/6))^'Growth Rules'!$B$7,0))</x:f>
        <x:v>32</x:v>
      </x:c>
      <x:c r="O166" s="64" t="n">
        <x:f>MAX('Growth Rules'!$B$8,ROUND(('Growth Rules'!$B$4+'Growth Rules'!$B$5*($K166-'Growth Rules'!$B$6))*(H166/($K166/6))^'Growth Rules'!$B$7,0))</x:f>
        <x:v>63</x:v>
      </x:c>
      <x:c r="P166" s="64" t="n">
        <x:f>MAX('Growth Rules'!$B$8,ROUND(('Growth Rules'!$B$4+'Growth Rules'!$B$5*($K166-'Growth Rules'!$B$6))*(I166/($K166/6))^'Growth Rules'!$B$7,0))</x:f>
        <x:v>63</x:v>
      </x:c>
      <x:c r="Q166" s="64" t="n">
        <x:f>MAX('Growth Rules'!$B$8,ROUND(('Growth Rules'!$B$4+'Growth Rules'!$B$5*($K166-'Growth Rules'!$B$6))*(J166/($K166/6))^'Growth Rules'!$B$7,0))</x:f>
        <x:v>63</x:v>
      </x:c>
      <x:c r="R166" s="66" t="n">
        <x:f>SUM(L166:Q166)/100</x:f>
        <x:v>2.71</x:v>
      </x:c>
      <x:c r="S166" s="62" t="str"/>
      <x:c r="T166" s="62" t="str"/>
      <x:c r="U166" s="62" t="str"/>
      <x:c r="V166" s="62" t="str"/>
      <x:c r="W166" s="62" t="str"/>
      <x:c r="X166" s="62" t="str"/>
      <x:c r="Y166" s="62" t="str">
        <x:v>Regional_Dex_Stats_and_Abilities_COMPLETE_v2.xlsx + Regional_Dex_Progression_Learnsets_v3.xlsx</x:v>
      </x:c>
    </x:row>
    <x:row r="167">
      <x:c r="A167" s="60" t="n">
        <x:v>164</x:v>
      </x:c>
      <x:c r="B167" s="62" t="str">
        <x:v>Caelynx</x:v>
      </x:c>
      <x:c r="C167" s="62" t="str">
        <x:v>Ice</x:v>
      </x:c>
      <x:c r="D167" s="62" t="str">
        <x:v>Fairy</x:v>
      </x:c>
      <x:c r="E167" s="60" t="n">
        <x:v>95</x:v>
      </x:c>
      <x:c r="F167" s="60" t="n">
        <x:v>80</x:v>
      </x:c>
      <x:c r="G167" s="60" t="n">
        <x:v>95</x:v>
      </x:c>
      <x:c r="H167" s="60" t="n">
        <x:v>95</x:v>
      </x:c>
      <x:c r="I167" s="60" t="n">
        <x:v>120</x:v>
      </x:c>
      <x:c r="J167" s="60" t="n">
        <x:v>95</x:v>
      </x:c>
      <x:c r="K167" s="60" t="n">
        <x:v>580</x:v>
      </x:c>
      <x:c r="L167" s="64" t="n">
        <x:f>MAX('Growth Rules'!$B$8,ROUND(('Growth Rules'!$B$4+'Growth Rules'!$B$5*($K167-'Growth Rules'!$B$6))*(E167/($K167/6))^'Growth Rules'!$B$7,0))</x:f>
        <x:v>47</x:v>
      </x:c>
      <x:c r="M167" s="64" t="n">
        <x:f>MAX('Growth Rules'!$B$8,ROUND(('Growth Rules'!$B$4+'Growth Rules'!$B$5*($K167-'Growth Rules'!$B$6))*(F167/($K167/6))^'Growth Rules'!$B$7,0))</x:f>
        <x:v>32</x:v>
      </x:c>
      <x:c r="N167" s="64" t="n">
        <x:f>MAX('Growth Rules'!$B$8,ROUND(('Growth Rules'!$B$4+'Growth Rules'!$B$5*($K167-'Growth Rules'!$B$6))*(G167/($K167/6))^'Growth Rules'!$B$7,0))</x:f>
        <x:v>47</x:v>
      </x:c>
      <x:c r="O167" s="64" t="n">
        <x:f>MAX('Growth Rules'!$B$8,ROUND(('Growth Rules'!$B$4+'Growth Rules'!$B$5*($K167-'Growth Rules'!$B$6))*(H167/($K167/6))^'Growth Rules'!$B$7,0))</x:f>
        <x:v>47</x:v>
      </x:c>
      <x:c r="P167" s="64" t="n">
        <x:f>MAX('Growth Rules'!$B$8,ROUND(('Growth Rules'!$B$4+'Growth Rules'!$B$5*($K167-'Growth Rules'!$B$6))*(I167/($K167/6))^'Growth Rules'!$B$7,0))</x:f>
        <x:v>79</x:v>
      </x:c>
      <x:c r="Q167" s="64" t="n">
        <x:f>MAX('Growth Rules'!$B$8,ROUND(('Growth Rules'!$B$4+'Growth Rules'!$B$5*($K167-'Growth Rules'!$B$6))*(J167/($K167/6))^'Growth Rules'!$B$7,0))</x:f>
        <x:v>47</x:v>
      </x:c>
      <x:c r="R167" s="66" t="n">
        <x:f>SUM(L167:Q167)/100</x:f>
        <x:v>2.99</x:v>
      </x:c>
      <x:c r="S167" s="62" t="str"/>
      <x:c r="T167" s="62" t="str"/>
      <x:c r="U167" s="62" t="str"/>
      <x:c r="V167" s="62" t="str"/>
      <x:c r="W167" s="62" t="str"/>
      <x:c r="X167" s="62" t="str"/>
      <x:c r="Y167" s="62" t="str">
        <x:v>Regional_Dex_Stats_and_Abilities_COMPLETE_v2.xlsx + Regional_Dex_Progression_Learnsets_v3.xlsx</x:v>
      </x:c>
    </x:row>
    <x:row r="168">
      <x:c r="A168" s="60" t="n">
        <x:v>165</x:v>
      </x:c>
      <x:c r="B168" s="62" t="str">
        <x:v>Tellurion</x:v>
      </x:c>
      <x:c r="C168" s="62" t="str">
        <x:v>Grass</x:v>
      </x:c>
      <x:c r="D168" s="62" t="str">
        <x:v>Ground</x:v>
      </x:c>
      <x:c r="E168" s="60" t="n">
        <x:v>125</x:v>
      </x:c>
      <x:c r="F168" s="60" t="n">
        <x:v>105</x:v>
      </x:c>
      <x:c r="G168" s="60" t="n">
        <x:v>125</x:v>
      </x:c>
      <x:c r="H168" s="60" t="n">
        <x:v>75</x:v>
      </x:c>
      <x:c r="I168" s="60" t="n">
        <x:v>100</x:v>
      </x:c>
      <x:c r="J168" s="60" t="n">
        <x:v>50</x:v>
      </x:c>
      <x:c r="K168" s="60" t="n">
        <x:v>580</x:v>
      </x:c>
      <x:c r="L168" s="64" t="n">
        <x:f>MAX('Growth Rules'!$B$8,ROUND(('Growth Rules'!$B$4+'Growth Rules'!$B$5*($K168-'Growth Rules'!$B$6))*(E168/($K168/6))^'Growth Rules'!$B$7,0))</x:f>
        <x:v>87</x:v>
      </x:c>
      <x:c r="M168" s="64" t="n">
        <x:f>MAX('Growth Rules'!$B$8,ROUND(('Growth Rules'!$B$4+'Growth Rules'!$B$5*($K168-'Growth Rules'!$B$6))*(F168/($K168/6))^'Growth Rules'!$B$7,0))</x:f>
        <x:v>59</x:v>
      </x:c>
      <x:c r="N168" s="64" t="n">
        <x:f>MAX('Growth Rules'!$B$8,ROUND(('Growth Rules'!$B$4+'Growth Rules'!$B$5*($K168-'Growth Rules'!$B$6))*(G168/($K168/6))^'Growth Rules'!$B$7,0))</x:f>
        <x:v>87</x:v>
      </x:c>
      <x:c r="O168" s="64" t="n">
        <x:f>MAX('Growth Rules'!$B$8,ROUND(('Growth Rules'!$B$4+'Growth Rules'!$B$5*($K168-'Growth Rules'!$B$6))*(H168/($K168/6))^'Growth Rules'!$B$7,0))</x:f>
        <x:v>28</x:v>
      </x:c>
      <x:c r="P168" s="64" t="n">
        <x:f>MAX('Growth Rules'!$B$8,ROUND(('Growth Rules'!$B$4+'Growth Rules'!$B$5*($K168-'Growth Rules'!$B$6))*(I168/($K168/6))^'Growth Rules'!$B$7,0))</x:f>
        <x:v>53</x:v>
      </x:c>
      <x:c r="Q168" s="64" t="n">
        <x:f>MAX('Growth Rules'!$B$8,ROUND(('Growth Rules'!$B$4+'Growth Rules'!$B$5*($K168-'Growth Rules'!$B$6))*(J168/($K168/6))^'Growth Rules'!$B$7,0))</x:f>
        <x:v>11</x:v>
      </x:c>
      <x:c r="R168" s="66" t="n">
        <x:f>SUM(L168:Q168)/100</x:f>
        <x:v>3.25</x:v>
      </x:c>
      <x:c r="S168" s="62" t="str"/>
      <x:c r="T168" s="62" t="str"/>
      <x:c r="U168" s="62" t="str"/>
      <x:c r="V168" s="62" t="str"/>
      <x:c r="W168" s="62" t="str"/>
      <x:c r="X168" s="62" t="str"/>
      <x:c r="Y168" s="62" t="str">
        <x:v>Regional_Dex_Stats_and_Abilities_COMPLETE_v2.xlsx + Regional_Dex_Progression_Learnsets_v3.xlsx</x:v>
      </x:c>
    </x:row>
    <x:row r="169">
      <x:c r="A169" s="60" t="n">
        <x:v>166</x:v>
      </x:c>
      <x:c r="B169" s="62" t="str">
        <x:v>Gehennuar</x:v>
      </x:c>
      <x:c r="C169" s="62" t="str">
        <x:v>Fire</x:v>
      </x:c>
      <x:c r="D169" s="62" t="str">
        <x:v>Ghost</x:v>
      </x:c>
      <x:c r="E169" s="60" t="n">
        <x:v>80</x:v>
      </x:c>
      <x:c r="F169" s="60" t="n">
        <x:v>95</x:v>
      </x:c>
      <x:c r="G169" s="60" t="n">
        <x:v>70</x:v>
      </x:c>
      <x:c r="H169" s="60" t="n">
        <x:v>120</x:v>
      </x:c>
      <x:c r="I169" s="60" t="n">
        <x:v>95</x:v>
      </x:c>
      <x:c r="J169" s="60" t="n">
        <x:v>120</x:v>
      </x:c>
      <x:c r="K169" s="60" t="n">
        <x:v>580</x:v>
      </x:c>
      <x:c r="L169" s="64" t="n">
        <x:f>MAX('Growth Rules'!$B$8,ROUND(('Growth Rules'!$B$4+'Growth Rules'!$B$5*($K169-'Growth Rules'!$B$6))*(E169/($K169/6))^'Growth Rules'!$B$7,0))</x:f>
        <x:v>32</x:v>
      </x:c>
      <x:c r="M169" s="64" t="n">
        <x:f>MAX('Growth Rules'!$B$8,ROUND(('Growth Rules'!$B$4+'Growth Rules'!$B$5*($K169-'Growth Rules'!$B$6))*(F169/($K169/6))^'Growth Rules'!$B$7,0))</x:f>
        <x:v>47</x:v>
      </x:c>
      <x:c r="N169" s="64" t="n">
        <x:f>MAX('Growth Rules'!$B$8,ROUND(('Growth Rules'!$B$4+'Growth Rules'!$B$5*($K169-'Growth Rules'!$B$6))*(G169/($K169/6))^'Growth Rules'!$B$7,0))</x:f>
        <x:v>24</x:v>
      </x:c>
      <x:c r="O169" s="64" t="n">
        <x:f>MAX('Growth Rules'!$B$8,ROUND(('Growth Rules'!$B$4+'Growth Rules'!$B$5*($K169-'Growth Rules'!$B$6))*(H169/($K169/6))^'Growth Rules'!$B$7,0))</x:f>
        <x:v>79</x:v>
      </x:c>
      <x:c r="P169" s="64" t="n">
        <x:f>MAX('Growth Rules'!$B$8,ROUND(('Growth Rules'!$B$4+'Growth Rules'!$B$5*($K169-'Growth Rules'!$B$6))*(I169/($K169/6))^'Growth Rules'!$B$7,0))</x:f>
        <x:v>47</x:v>
      </x:c>
      <x:c r="Q169" s="64" t="n">
        <x:f>MAX('Growth Rules'!$B$8,ROUND(('Growth Rules'!$B$4+'Growth Rules'!$B$5*($K169-'Growth Rules'!$B$6))*(J169/($K169/6))^'Growth Rules'!$B$7,0))</x:f>
        <x:v>79</x:v>
      </x:c>
      <x:c r="R169" s="66" t="n">
        <x:f>SUM(L169:Q169)/100</x:f>
        <x:v>3.08</x:v>
      </x:c>
      <x:c r="S169" s="62" t="str"/>
      <x:c r="T169" s="62" t="str"/>
      <x:c r="U169" s="62" t="str"/>
      <x:c r="V169" s="62" t="str"/>
      <x:c r="W169" s="62" t="str"/>
      <x:c r="X169" s="62" t="str"/>
      <x:c r="Y169" s="62" t="str">
        <x:v>Regional_Dex_Stats_and_Abilities_COMPLETE_v2.xlsx + Regional_Dex_Progression_Learnsets_v3.xlsx</x:v>
      </x:c>
    </x:row>
    <x:row r="170">
      <x:c r="A170" s="60" t="n">
        <x:v>167</x:v>
      </x:c>
      <x:c r="B170" s="62" t="str">
        <x:v>Dustisk</x:v>
      </x:c>
      <x:c r="C170" s="62" t="str">
        <x:v>Ground</x:v>
      </x:c>
      <x:c r="D170" s="62" t="str"/>
      <x:c r="E170" s="60" t="n">
        <x:v>50</x:v>
      </x:c>
      <x:c r="F170" s="60" t="n">
        <x:v>60</x:v>
      </x:c>
      <x:c r="G170" s="60" t="n">
        <x:v>60</x:v>
      </x:c>
      <x:c r="H170" s="60" t="n">
        <x:v>30</x:v>
      </x:c>
      <x:c r="I170" s="60" t="n">
        <x:v>50</x:v>
      </x:c>
      <x:c r="J170" s="60" t="n">
        <x:v>50</x:v>
      </x:c>
      <x:c r="K170" s="60" t="n">
        <x:v>300</x:v>
      </x:c>
      <x:c r="L170" s="64" t="n">
        <x:f>MAX('Growth Rules'!$B$8,ROUND(('Growth Rules'!$B$4+'Growth Rules'!$B$5*($K170-'Growth Rules'!$B$6))*(E170/($K170/6))^'Growth Rules'!$B$7,0))</x:f>
        <x:v>32</x:v>
      </x:c>
      <x:c r="M170" s="64" t="n">
        <x:f>MAX('Growth Rules'!$B$8,ROUND(('Growth Rules'!$B$4+'Growth Rules'!$B$5*($K170-'Growth Rules'!$B$6))*(F170/($K170/6))^'Growth Rules'!$B$7,0))</x:f>
        <x:v>48</x:v>
      </x:c>
      <x:c r="N170" s="64" t="n">
        <x:f>MAX('Growth Rules'!$B$8,ROUND(('Growth Rules'!$B$4+'Growth Rules'!$B$5*($K170-'Growth Rules'!$B$6))*(G170/($K170/6))^'Growth Rules'!$B$7,0))</x:f>
        <x:v>48</x:v>
      </x:c>
      <x:c r="O170" s="64" t="n">
        <x:f>MAX('Growth Rules'!$B$8,ROUND(('Growth Rules'!$B$4+'Growth Rules'!$B$5*($K170-'Growth Rules'!$B$6))*(H170/($K170/6))^'Growth Rules'!$B$7,0))</x:f>
        <x:v>10</x:v>
      </x:c>
      <x:c r="P170" s="64" t="n">
        <x:f>MAX('Growth Rules'!$B$8,ROUND(('Growth Rules'!$B$4+'Growth Rules'!$B$5*($K170-'Growth Rules'!$B$6))*(I170/($K170/6))^'Growth Rules'!$B$7,0))</x:f>
        <x:v>32</x:v>
      </x:c>
      <x:c r="Q170" s="64" t="n">
        <x:f>MAX('Growth Rules'!$B$8,ROUND(('Growth Rules'!$B$4+'Growth Rules'!$B$5*($K170-'Growth Rules'!$B$6))*(J170/($K170/6))^'Growth Rules'!$B$7,0))</x:f>
        <x:v>32</x:v>
      </x:c>
      <x:c r="R170" s="66" t="n">
        <x:f>SUM(L170:Q170)/100</x:f>
        <x:v>2.02</x:v>
      </x:c>
      <x:c r="S170" s="62" t="str">
        <x:v>Cairisk</x:v>
      </x:c>
      <x:c r="T170" s="62" t="str">
        <x:v>LEVEL</x:v>
      </x:c>
      <x:c r="U170" s="62" t="str">
        <x:v>30</x:v>
      </x:c>
      <x:c r="V170" s="62" t="str"/>
      <x:c r="W170" s="62" t="str">
        <x:v>30</x:v>
      </x:c>
      <x:c r="X170" s="62" t="str">
        <x:v>KEEP EXISTING / VALIDATED</x:v>
      </x:c>
      <x:c r="Y170" s="62" t="str">
        <x:v>Regional_Dex_Stats_and_Abilities_COMPLETE_v2.xlsx + Regional_Dex_Progression_Learnsets_v3.xlsx</x:v>
      </x:c>
    </x:row>
    <x:row r="171">
      <x:c r="A171" s="60" t="n">
        <x:v>168</x:v>
      </x:c>
      <x:c r="B171" s="62" t="str">
        <x:v>Cairisk</x:v>
      </x:c>
      <x:c r="C171" s="62" t="str">
        <x:v>Ground</x:v>
      </x:c>
      <x:c r="D171" s="62" t="str">
        <x:v>Dragon</x:v>
      </x:c>
      <x:c r="E171" s="60" t="n">
        <x:v>80</x:v>
      </x:c>
      <x:c r="F171" s="60" t="n">
        <x:v>80</x:v>
      </x:c>
      <x:c r="G171" s="60" t="n">
        <x:v>80</x:v>
      </x:c>
      <x:c r="H171" s="60" t="n">
        <x:v>50</x:v>
      </x:c>
      <x:c r="I171" s="60" t="n">
        <x:v>70</x:v>
      </x:c>
      <x:c r="J171" s="60" t="n">
        <x:v>60</x:v>
      </x:c>
      <x:c r="K171" s="60" t="n">
        <x:v>420</x:v>
      </x:c>
      <x:c r="L171" s="64" t="n">
        <x:f>MAX('Growth Rules'!$B$8,ROUND(('Growth Rules'!$B$4+'Growth Rules'!$B$5*($K171-'Growth Rules'!$B$6))*(E171/($K171/6))^'Growth Rules'!$B$7,0))</x:f>
        <x:v>53</x:v>
      </x:c>
      <x:c r="M171" s="64" t="n">
        <x:f>MAX('Growth Rules'!$B$8,ROUND(('Growth Rules'!$B$4+'Growth Rules'!$B$5*($K171-'Growth Rules'!$B$6))*(F171/($K171/6))^'Growth Rules'!$B$7,0))</x:f>
        <x:v>53</x:v>
      </x:c>
      <x:c r="N171" s="64" t="n">
        <x:f>MAX('Growth Rules'!$B$8,ROUND(('Growth Rules'!$B$4+'Growth Rules'!$B$5*($K171-'Growth Rules'!$B$6))*(G171/($K171/6))^'Growth Rules'!$B$7,0))</x:f>
        <x:v>53</x:v>
      </x:c>
      <x:c r="O171" s="64" t="n">
        <x:f>MAX('Growth Rules'!$B$8,ROUND(('Growth Rules'!$B$4+'Growth Rules'!$B$5*($K171-'Growth Rules'!$B$6))*(H171/($K171/6))^'Growth Rules'!$B$7,0))</x:f>
        <x:v>18</x:v>
      </x:c>
      <x:c r="P171" s="64" t="n">
        <x:f>MAX('Growth Rules'!$B$8,ROUND(('Growth Rules'!$B$4+'Growth Rules'!$B$5*($K171-'Growth Rules'!$B$6))*(I171/($K171/6))^'Growth Rules'!$B$7,0))</x:f>
        <x:v>39</x:v>
      </x:c>
      <x:c r="Q171" s="64" t="n">
        <x:f>MAX('Growth Rules'!$B$8,ROUND(('Growth Rules'!$B$4+'Growth Rules'!$B$5*($K171-'Growth Rules'!$B$6))*(J171/($K171/6))^'Growth Rules'!$B$7,0))</x:f>
        <x:v>28</x:v>
      </x:c>
      <x:c r="R171" s="66" t="n">
        <x:f>SUM(L171:Q171)/100</x:f>
        <x:v>2.44</x:v>
      </x:c>
      <x:c r="S171" s="62" t="str">
        <x:v>Mausolisk</x:v>
      </x:c>
      <x:c r="T171" s="62" t="str">
        <x:v>LEVEL</x:v>
      </x:c>
      <x:c r="U171" s="62" t="str">
        <x:v>50</x:v>
      </x:c>
      <x:c r="V171" s="62" t="str"/>
      <x:c r="W171" s="62" t="str">
        <x:v>50</x:v>
      </x:c>
      <x:c r="X171" s="62" t="str">
        <x:v>KEEP EXISTING / VALIDATED</x:v>
      </x:c>
      <x:c r="Y171" s="62" t="str">
        <x:v>Regional_Dex_Stats_and_Abilities_COMPLETE_v2.xlsx + Regional_Dex_Progression_Learnsets_v3.xlsx</x:v>
      </x:c>
    </x:row>
    <x:row r="172">
      <x:c r="A172" s="60" t="n">
        <x:v>169</x:v>
      </x:c>
      <x:c r="B172" s="62" t="str">
        <x:v>Mausolisk</x:v>
      </x:c>
      <x:c r="C172" s="62" t="str">
        <x:v>Ground</x:v>
      </x:c>
      <x:c r="D172" s="62" t="str">
        <x:v>Dragon</x:v>
      </x:c>
      <x:c r="E172" s="60" t="n">
        <x:v>105</x:v>
      </x:c>
      <x:c r="F172" s="60" t="n">
        <x:v>130</x:v>
      </x:c>
      <x:c r="G172" s="60" t="n">
        <x:v>130</x:v>
      </x:c>
      <x:c r="H172" s="60" t="n">
        <x:v>50</x:v>
      </x:c>
      <x:c r="I172" s="60" t="n">
        <x:v>105</x:v>
      </x:c>
      <x:c r="J172" s="60" t="n">
        <x:v>80</x:v>
      </x:c>
      <x:c r="K172" s="60" t="n">
        <x:v>600</x:v>
      </x:c>
      <x:c r="L172" s="64" t="n">
        <x:f>MAX('Growth Rules'!$B$8,ROUND(('Growth Rules'!$B$4+'Growth Rules'!$B$5*($K172-'Growth Rules'!$B$6))*(E172/($K172/6))^'Growth Rules'!$B$7,0))</x:f>
        <x:v>56</x:v>
      </x:c>
      <x:c r="M172" s="64" t="n">
        <x:f>MAX('Growth Rules'!$B$8,ROUND(('Growth Rules'!$B$4+'Growth Rules'!$B$5*($K172-'Growth Rules'!$B$6))*(F172/($K172/6))^'Growth Rules'!$B$7,0))</x:f>
        <x:v>90</x:v>
      </x:c>
      <x:c r="N172" s="64" t="n">
        <x:f>MAX('Growth Rules'!$B$8,ROUND(('Growth Rules'!$B$4+'Growth Rules'!$B$5*($K172-'Growth Rules'!$B$6))*(G172/($K172/6))^'Growth Rules'!$B$7,0))</x:f>
        <x:v>90</x:v>
      </x:c>
      <x:c r="O172" s="64" t="n">
        <x:f>MAX('Growth Rules'!$B$8,ROUND(('Growth Rules'!$B$4+'Growth Rules'!$B$5*($K172-'Growth Rules'!$B$6))*(H172/($K172/6))^'Growth Rules'!$B$7,0))</x:f>
        <x:v>11</x:v>
      </x:c>
      <x:c r="P172" s="64" t="n">
        <x:f>MAX('Growth Rules'!$B$8,ROUND(('Growth Rules'!$B$4+'Growth Rules'!$B$5*($K172-'Growth Rules'!$B$6))*(I172/($K172/6))^'Growth Rules'!$B$7,0))</x:f>
        <x:v>56</x:v>
      </x:c>
      <x:c r="Q172" s="64" t="n">
        <x:f>MAX('Growth Rules'!$B$8,ROUND(('Growth Rules'!$B$4+'Growth Rules'!$B$5*($K172-'Growth Rules'!$B$6))*(J172/($K172/6))^'Growth Rules'!$B$7,0))</x:f>
        <x:v>30</x:v>
      </x:c>
      <x:c r="R172" s="66" t="n">
        <x:f>SUM(L172:Q172)/100</x:f>
        <x:v>3.33</x:v>
      </x:c>
      <x:c r="S172" s="62" t="str"/>
      <x:c r="T172" s="62" t="str"/>
      <x:c r="U172" s="62" t="str"/>
      <x:c r="V172" s="62" t="str"/>
      <x:c r="W172" s="62" t="str"/>
      <x:c r="X172" s="62" t="str"/>
      <x:c r="Y172" s="62" t="str">
        <x:v>Regional_Dex_Stats_and_Abilities_COMPLETE_v2.xlsx + Regional_Dex_Progression_Learnsets_v3.xlsx</x:v>
      </x:c>
    </x:row>
    <x:row r="173">
      <x:c r="A173" s="60" t="n">
        <x:v>170</x:v>
      </x:c>
      <x:c r="B173" s="62" t="str">
        <x:v>Chipkid</x:v>
      </x:c>
      <x:c r="C173" s="62" t="str">
        <x:v>Ice</x:v>
      </x:c>
      <x:c r="D173" s="62" t="str"/>
      <x:c r="E173" s="60" t="n">
        <x:v>50</x:v>
      </x:c>
      <x:c r="F173" s="60" t="n">
        <x:v>50</x:v>
      </x:c>
      <x:c r="G173" s="60" t="n">
        <x:v>65</x:v>
      </x:c>
      <x:c r="H173" s="60" t="n">
        <x:v>30</x:v>
      </x:c>
      <x:c r="I173" s="60" t="n">
        <x:v>50</x:v>
      </x:c>
      <x:c r="J173" s="60" t="n">
        <x:v>55</x:v>
      </x:c>
      <x:c r="K173" s="60" t="n">
        <x:v>300</x:v>
      </x:c>
      <x:c r="L173" s="64" t="n">
        <x:f>MAX('Growth Rules'!$B$8,ROUND(('Growth Rules'!$B$4+'Growth Rules'!$B$5*($K173-'Growth Rules'!$B$6))*(E173/($K173/6))^'Growth Rules'!$B$7,0))</x:f>
        <x:v>32</x:v>
      </x:c>
      <x:c r="M173" s="64" t="n">
        <x:f>MAX('Growth Rules'!$B$8,ROUND(('Growth Rules'!$B$4+'Growth Rules'!$B$5*($K173-'Growth Rules'!$B$6))*(F173/($K173/6))^'Growth Rules'!$B$7,0))</x:f>
        <x:v>32</x:v>
      </x:c>
      <x:c r="N173" s="64" t="n">
        <x:f>MAX('Growth Rules'!$B$8,ROUND(('Growth Rules'!$B$4+'Growth Rules'!$B$5*($K173-'Growth Rules'!$B$6))*(G173/($K173/6))^'Growth Rules'!$B$7,0))</x:f>
        <x:v>58</x:v>
      </x:c>
      <x:c r="O173" s="64" t="n">
        <x:f>MAX('Growth Rules'!$B$8,ROUND(('Growth Rules'!$B$4+'Growth Rules'!$B$5*($K173-'Growth Rules'!$B$6))*(H173/($K173/6))^'Growth Rules'!$B$7,0))</x:f>
        <x:v>10</x:v>
      </x:c>
      <x:c r="P173" s="64" t="n">
        <x:f>MAX('Growth Rules'!$B$8,ROUND(('Growth Rules'!$B$4+'Growth Rules'!$B$5*($K173-'Growth Rules'!$B$6))*(I173/($K173/6))^'Growth Rules'!$B$7,0))</x:f>
        <x:v>32</x:v>
      </x:c>
      <x:c r="Q173" s="64" t="n">
        <x:f>MAX('Growth Rules'!$B$8,ROUND(('Growth Rules'!$B$4+'Growth Rules'!$B$5*($K173-'Growth Rules'!$B$6))*(J173/($K173/6))^'Growth Rules'!$B$7,0))</x:f>
        <x:v>40</x:v>
      </x:c>
      <x:c r="R173" s="66" t="n">
        <x:f>SUM(L173:Q173)/100</x:f>
        <x:v>2.04</x:v>
      </x:c>
      <x:c r="S173" s="62" t="str">
        <x:v>Rimebex</x:v>
      </x:c>
      <x:c r="T173" s="62" t="str">
        <x:v>LEVEL</x:v>
      </x:c>
      <x:c r="U173" s="62" t="str">
        <x:v>30</x:v>
      </x:c>
      <x:c r="V173" s="62" t="str"/>
      <x:c r="W173" s="62" t="str">
        <x:v>30</x:v>
      </x:c>
      <x:c r="X173" s="62" t="str">
        <x:v>KEEP EXISTING / VALIDATED</x:v>
      </x:c>
      <x:c r="Y173" s="62" t="str">
        <x:v>Regional_Dex_Stats_and_Abilities_COMPLETE_v2.xlsx + Regional_Dex_Progression_Learnsets_v3.xlsx</x:v>
      </x:c>
    </x:row>
    <x:row r="174">
      <x:c r="A174" s="60" t="n">
        <x:v>171</x:v>
      </x:c>
      <x:c r="B174" s="62" t="str">
        <x:v>Rimebex</x:v>
      </x:c>
      <x:c r="C174" s="62" t="str">
        <x:v>Ice</x:v>
      </x:c>
      <x:c r="D174" s="62" t="str"/>
      <x:c r="E174" s="60" t="n">
        <x:v>80</x:v>
      </x:c>
      <x:c r="F174" s="60" t="n">
        <x:v>85</x:v>
      </x:c>
      <x:c r="G174" s="60" t="n">
        <x:v>85</x:v>
      </x:c>
      <x:c r="H174" s="60" t="n">
        <x:v>40</x:v>
      </x:c>
      <x:c r="I174" s="60" t="n">
        <x:v>70</x:v>
      </x:c>
      <x:c r="J174" s="60" t="n">
        <x:v>60</x:v>
      </x:c>
      <x:c r="K174" s="60" t="n">
        <x:v>420</x:v>
      </x:c>
      <x:c r="L174" s="64" t="n">
        <x:f>MAX('Growth Rules'!$B$8,ROUND(('Growth Rules'!$B$4+'Growth Rules'!$B$5*($K174-'Growth Rules'!$B$6))*(E174/($K174/6))^'Growth Rules'!$B$7,0))</x:f>
        <x:v>53</x:v>
      </x:c>
      <x:c r="M174" s="64" t="n">
        <x:f>MAX('Growth Rules'!$B$8,ROUND(('Growth Rules'!$B$4+'Growth Rules'!$B$5*($K174-'Growth Rules'!$B$6))*(F174/($K174/6))^'Growth Rules'!$B$7,0))</x:f>
        <x:v>61</x:v>
      </x:c>
      <x:c r="N174" s="64" t="n">
        <x:f>MAX('Growth Rules'!$B$8,ROUND(('Growth Rules'!$B$4+'Growth Rules'!$B$5*($K174-'Growth Rules'!$B$6))*(G174/($K174/6))^'Growth Rules'!$B$7,0))</x:f>
        <x:v>61</x:v>
      </x:c>
      <x:c r="O174" s="64" t="n">
        <x:f>MAX('Growth Rules'!$B$8,ROUND(('Growth Rules'!$B$4+'Growth Rules'!$B$5*($K174-'Growth Rules'!$B$6))*(H174/($K174/6))^'Growth Rules'!$B$7,0))</x:f>
        <x:v>11</x:v>
      </x:c>
      <x:c r="P174" s="64" t="n">
        <x:f>MAX('Growth Rules'!$B$8,ROUND(('Growth Rules'!$B$4+'Growth Rules'!$B$5*($K174-'Growth Rules'!$B$6))*(I174/($K174/6))^'Growth Rules'!$B$7,0))</x:f>
        <x:v>39</x:v>
      </x:c>
      <x:c r="Q174" s="64" t="n">
        <x:f>MAX('Growth Rules'!$B$8,ROUND(('Growth Rules'!$B$4+'Growth Rules'!$B$5*($K174-'Growth Rules'!$B$6))*(J174/($K174/6))^'Growth Rules'!$B$7,0))</x:f>
        <x:v>28</x:v>
      </x:c>
      <x:c r="R174" s="66" t="n">
        <x:f>SUM(L174:Q174)/100</x:f>
        <x:v>2.53</x:v>
      </x:c>
      <x:c r="S174" s="62" t="str">
        <x:v>Aegishorn</x:v>
      </x:c>
      <x:c r="T174" s="62" t="str">
        <x:v>LEVEL</x:v>
      </x:c>
      <x:c r="U174" s="62" t="str">
        <x:v>50</x:v>
      </x:c>
      <x:c r="V174" s="62" t="str"/>
      <x:c r="W174" s="62" t="str">
        <x:v>50</x:v>
      </x:c>
      <x:c r="X174" s="62" t="str">
        <x:v>KEEP EXISTING / VALIDATED</x:v>
      </x:c>
      <x:c r="Y174" s="62" t="str">
        <x:v>Regional_Dex_Stats_and_Abilities_COMPLETE_v2.xlsx + Regional_Dex_Progression_Learnsets_v3.xlsx</x:v>
      </x:c>
    </x:row>
    <x:row r="175">
      <x:c r="A175" s="60" t="n">
        <x:v>172</x:v>
      </x:c>
      <x:c r="B175" s="62" t="str">
        <x:v>Aegishorn</x:v>
      </x:c>
      <x:c r="C175" s="62" t="str">
        <x:v>Ice</x:v>
      </x:c>
      <x:c r="D175" s="62" t="str">
        <x:v>Steel</x:v>
      </x:c>
      <x:c r="E175" s="60" t="n">
        <x:v>110</x:v>
      </x:c>
      <x:c r="F175" s="60" t="n">
        <x:v>135</x:v>
      </x:c>
      <x:c r="G175" s="60" t="n">
        <x:v>135</x:v>
      </x:c>
      <x:c r="H175" s="60" t="n">
        <x:v>50</x:v>
      </x:c>
      <x:c r="I175" s="60" t="n">
        <x:v>105</x:v>
      </x:c>
      <x:c r="J175" s="60" t="n">
        <x:v>65</x:v>
      </x:c>
      <x:c r="K175" s="60" t="n">
        <x:v>600</x:v>
      </x:c>
      <x:c r="L175" s="64" t="n">
        <x:f>MAX('Growth Rules'!$B$8,ROUND(('Growth Rules'!$B$4+'Growth Rules'!$B$5*($K175-'Growth Rules'!$B$6))*(E175/($K175/6))^'Growth Rules'!$B$7,0))</x:f>
        <x:v>62</x:v>
      </x:c>
      <x:c r="M175" s="64" t="n">
        <x:f>MAX('Growth Rules'!$B$8,ROUND(('Growth Rules'!$B$4+'Growth Rules'!$B$5*($K175-'Growth Rules'!$B$6))*(F175/($K175/6))^'Growth Rules'!$B$7,0))</x:f>
        <x:v>98</x:v>
      </x:c>
      <x:c r="N175" s="64" t="n">
        <x:f>MAX('Growth Rules'!$B$8,ROUND(('Growth Rules'!$B$4+'Growth Rules'!$B$5*($K175-'Growth Rules'!$B$6))*(G175/($K175/6))^'Growth Rules'!$B$7,0))</x:f>
        <x:v>98</x:v>
      </x:c>
      <x:c r="O175" s="64" t="n">
        <x:f>MAX('Growth Rules'!$B$8,ROUND(('Growth Rules'!$B$4+'Growth Rules'!$B$5*($K175-'Growth Rules'!$B$6))*(H175/($K175/6))^'Growth Rules'!$B$7,0))</x:f>
        <x:v>11</x:v>
      </x:c>
      <x:c r="P175" s="64" t="n">
        <x:f>MAX('Growth Rules'!$B$8,ROUND(('Growth Rules'!$B$4+'Growth Rules'!$B$5*($K175-'Growth Rules'!$B$6))*(I175/($K175/6))^'Growth Rules'!$B$7,0))</x:f>
        <x:v>56</x:v>
      </x:c>
      <x:c r="Q175" s="64" t="n">
        <x:f>MAX('Growth Rules'!$B$8,ROUND(('Growth Rules'!$B$4+'Growth Rules'!$B$5*($K175-'Growth Rules'!$B$6))*(J175/($K175/6))^'Growth Rules'!$B$7,0))</x:f>
        <x:v>19</x:v>
      </x:c>
      <x:c r="R175" s="66" t="n">
        <x:f>SUM(L175:Q175)/100</x:f>
        <x:v>3.44</x:v>
      </x:c>
      <x:c r="S175" s="62" t="str"/>
      <x:c r="T175" s="62" t="str"/>
      <x:c r="U175" s="62" t="str"/>
      <x:c r="V175" s="62" t="str"/>
      <x:c r="W175" s="62" t="str"/>
      <x:c r="X175" s="62" t="str"/>
      <x:c r="Y175" s="62" t="str">
        <x:v>Regional_Dex_Stats_and_Abilities_COMPLETE_v2.xlsx + Regional_Dex_Progression_Learnsets_v3.xlsx</x:v>
      </x:c>
    </x:row>
    <x:row r="176">
      <x:c r="A176" s="60" t="n">
        <x:v>173</x:v>
      </x:c>
      <x:c r="B176" s="62" t="str">
        <x:v>Tianzhar</x:v>
      </x:c>
      <x:c r="C176" s="62" t="str">
        <x:v>Dragon</x:v>
      </x:c>
      <x:c r="D176" s="62" t="str">
        <x:v>Electric</x:v>
      </x:c>
      <x:c r="E176" s="60" t="n">
        <x:v>105</x:v>
      </x:c>
      <x:c r="F176" s="60" t="n">
        <x:v>105</x:v>
      </x:c>
      <x:c r="G176" s="60" t="n">
        <x:v>105</x:v>
      </x:c>
      <x:c r="H176" s="60" t="n">
        <x:v>130</x:v>
      </x:c>
      <x:c r="I176" s="60" t="n">
        <x:v>105</x:v>
      </x:c>
      <x:c r="J176" s="60" t="n">
        <x:v>130</x:v>
      </x:c>
      <x:c r="K176" s="60" t="n">
        <x:v>680</x:v>
      </x:c>
      <x:c r="L176" s="64" t="n">
        <x:f>MAX('Growth Rules'!$B$8,ROUND(('Growth Rules'!$B$4+'Growth Rules'!$B$5*($K176-'Growth Rules'!$B$6))*(E176/($K176/6))^'Growth Rules'!$B$7,0))</x:f>
        <x:v>46</x:v>
      </x:c>
      <x:c r="M176" s="64" t="n">
        <x:f>MAX('Growth Rules'!$B$8,ROUND(('Growth Rules'!$B$4+'Growth Rules'!$B$5*($K176-'Growth Rules'!$B$6))*(F176/($K176/6))^'Growth Rules'!$B$7,0))</x:f>
        <x:v>46</x:v>
      </x:c>
      <x:c r="N176" s="64" t="n">
        <x:f>MAX('Growth Rules'!$B$8,ROUND(('Growth Rules'!$B$4+'Growth Rules'!$B$5*($K176-'Growth Rules'!$B$6))*(G176/($K176/6))^'Growth Rules'!$B$7,0))</x:f>
        <x:v>46</x:v>
      </x:c>
      <x:c r="O176" s="64" t="n">
        <x:f>MAX('Growth Rules'!$B$8,ROUND(('Growth Rules'!$B$4+'Growth Rules'!$B$5*($K176-'Growth Rules'!$B$6))*(H176/($K176/6))^'Growth Rules'!$B$7,0))</x:f>
        <x:v>75</x:v>
      </x:c>
      <x:c r="P176" s="64" t="n">
        <x:f>MAX('Growth Rules'!$B$8,ROUND(('Growth Rules'!$B$4+'Growth Rules'!$B$5*($K176-'Growth Rules'!$B$6))*(I176/($K176/6))^'Growth Rules'!$B$7,0))</x:f>
        <x:v>46</x:v>
      </x:c>
      <x:c r="Q176" s="64" t="n">
        <x:f>MAX('Growth Rules'!$B$8,ROUND(('Growth Rules'!$B$4+'Growth Rules'!$B$5*($K176-'Growth Rules'!$B$6))*(J176/($K176/6))^'Growth Rules'!$B$7,0))</x:f>
        <x:v>75</x:v>
      </x:c>
      <x:c r="R176" s="66" t="n">
        <x:f>SUM(L176:Q176)/100</x:f>
        <x:v>3.34</x:v>
      </x:c>
      <x:c r="S176" s="62" t="str"/>
      <x:c r="T176" s="62" t="str"/>
      <x:c r="U176" s="62" t="str"/>
      <x:c r="V176" s="62" t="str"/>
      <x:c r="W176" s="62" t="str"/>
      <x:c r="X176" s="62" t="str"/>
      <x:c r="Y176" s="62" t="str">
        <x:v>Regional_Dex_Stats_and_Abilities_COMPLETE_v2.xlsx + Regional_Dex_Progression_Learnsets_v3.xlsx</x:v>
      </x:c>
    </x:row>
    <x:row r="177">
      <x:c r="A177" s="60" t="n">
        <x:v>174</x:v>
      </x:c>
      <x:c r="B177" s="62" t="str">
        <x:v>Cruxwyrm</x:v>
      </x:c>
      <x:c r="C177" s="62" t="str">
        <x:v>Dragon</x:v>
      </x:c>
      <x:c r="D177" s="62" t="str">
        <x:v>Steel</x:v>
      </x:c>
      <x:c r="E177" s="60" t="n">
        <x:v>110</x:v>
      </x:c>
      <x:c r="F177" s="60" t="n">
        <x:v>135</x:v>
      </x:c>
      <x:c r="G177" s="60" t="n">
        <x:v>135</x:v>
      </x:c>
      <x:c r="H177" s="60" t="n">
        <x:v>110</x:v>
      </x:c>
      <x:c r="I177" s="60" t="n">
        <x:v>110</x:v>
      </x:c>
      <x:c r="J177" s="60" t="n">
        <x:v>80</x:v>
      </x:c>
      <x:c r="K177" s="60" t="n">
        <x:v>680</x:v>
      </x:c>
      <x:c r="L177" s="64" t="n">
        <x:f>MAX('Growth Rules'!$B$8,ROUND(('Growth Rules'!$B$4+'Growth Rules'!$B$5*($K177-'Growth Rules'!$B$6))*(E177/($K177/6))^'Growth Rules'!$B$7,0))</x:f>
        <x:v>51</x:v>
      </x:c>
      <x:c r="M177" s="64" t="n">
        <x:f>MAX('Growth Rules'!$B$8,ROUND(('Growth Rules'!$B$4+'Growth Rules'!$B$5*($K177-'Growth Rules'!$B$6))*(F177/($K177/6))^'Growth Rules'!$B$7,0))</x:f>
        <x:v>81</x:v>
      </x:c>
      <x:c r="N177" s="64" t="n">
        <x:f>MAX('Growth Rules'!$B$8,ROUND(('Growth Rules'!$B$4+'Growth Rules'!$B$5*($K177-'Growth Rules'!$B$6))*(G177/($K177/6))^'Growth Rules'!$B$7,0))</x:f>
        <x:v>81</x:v>
      </x:c>
      <x:c r="O177" s="64" t="n">
        <x:f>MAX('Growth Rules'!$B$8,ROUND(('Growth Rules'!$B$4+'Growth Rules'!$B$5*($K177-'Growth Rules'!$B$6))*(H177/($K177/6))^'Growth Rules'!$B$7,0))</x:f>
        <x:v>51</x:v>
      </x:c>
      <x:c r="P177" s="64" t="n">
        <x:f>MAX('Growth Rules'!$B$8,ROUND(('Growth Rules'!$B$4+'Growth Rules'!$B$5*($K177-'Growth Rules'!$B$6))*(I177/($K177/6))^'Growth Rules'!$B$7,0))</x:f>
        <x:v>51</x:v>
      </x:c>
      <x:c r="Q177" s="64" t="n">
        <x:f>MAX('Growth Rules'!$B$8,ROUND(('Growth Rules'!$B$4+'Growth Rules'!$B$5*($K177-'Growth Rules'!$B$6))*(J177/($K177/6))^'Growth Rules'!$B$7,0))</x:f>
        <x:v>25</x:v>
      </x:c>
      <x:c r="R177" s="66" t="n">
        <x:f>SUM(L177:Q177)/100</x:f>
        <x:v>3.4</x:v>
      </x:c>
      <x:c r="S177" s="62" t="str"/>
      <x:c r="T177" s="62" t="str"/>
      <x:c r="U177" s="62" t="str"/>
      <x:c r="V177" s="62" t="str"/>
      <x:c r="W177" s="62" t="str"/>
      <x:c r="X177" s="62" t="str"/>
      <x:c r="Y177" s="62" t="str">
        <x:v>Regional_Dex_Stats_and_Abilities_COMPLETE_v2.xlsx + Regional_Dex_Progression_Learnsets_v3.xlsx</x:v>
      </x:c>
    </x:row>
    <x:row r="178">
      <x:c r="A178" s="60" t="n">
        <x:v>175</x:v>
      </x:c>
      <x:c r="B178" s="62" t="str">
        <x:v>Feirong</x:v>
      </x:c>
      <x:c r="C178" s="62" t="str">
        <x:v>Grass</x:v>
      </x:c>
      <x:c r="D178" s="62" t="str">
        <x:v>Fighting</x:v>
      </x:c>
      <x:c r="E178" s="60" t="n">
        <x:v>105</x:v>
      </x:c>
      <x:c r="F178" s="60" t="n">
        <x:v>105</x:v>
      </x:c>
      <x:c r="G178" s="60" t="n">
        <x:v>90</x:v>
      </x:c>
      <x:c r="H178" s="60" t="n">
        <x:v>90</x:v>
      </x:c>
      <x:c r="I178" s="60" t="n">
        <x:v>105</x:v>
      </x:c>
      <x:c r="J178" s="60" t="n">
        <x:v>105</x:v>
      </x:c>
      <x:c r="K178" s="60" t="n">
        <x:v>600</x:v>
      </x:c>
      <x:c r="L178" s="64" t="n">
        <x:f>MAX('Growth Rules'!$B$8,ROUND(('Growth Rules'!$B$4+'Growth Rules'!$B$5*($K178-'Growth Rules'!$B$6))*(E178/($K178/6))^'Growth Rules'!$B$7,0))</x:f>
        <x:v>56</x:v>
      </x:c>
      <x:c r="M178" s="64" t="n">
        <x:f>MAX('Growth Rules'!$B$8,ROUND(('Growth Rules'!$B$4+'Growth Rules'!$B$5*($K178-'Growth Rules'!$B$6))*(F178/($K178/6))^'Growth Rules'!$B$7,0))</x:f>
        <x:v>56</x:v>
      </x:c>
      <x:c r="N178" s="64" t="n">
        <x:f>MAX('Growth Rules'!$B$8,ROUND(('Growth Rules'!$B$4+'Growth Rules'!$B$5*($K178-'Growth Rules'!$B$6))*(G178/($K178/6))^'Growth Rules'!$B$7,0))</x:f>
        <x:v>39</x:v>
      </x:c>
      <x:c r="O178" s="64" t="n">
        <x:f>MAX('Growth Rules'!$B$8,ROUND(('Growth Rules'!$B$4+'Growth Rules'!$B$5*($K178-'Growth Rules'!$B$6))*(H178/($K178/6))^'Growth Rules'!$B$7,0))</x:f>
        <x:v>39</x:v>
      </x:c>
      <x:c r="P178" s="64" t="n">
        <x:f>MAX('Growth Rules'!$B$8,ROUND(('Growth Rules'!$B$4+'Growth Rules'!$B$5*($K178-'Growth Rules'!$B$6))*(I178/($K178/6))^'Growth Rules'!$B$7,0))</x:f>
        <x:v>56</x:v>
      </x:c>
      <x:c r="Q178" s="64" t="n">
        <x:f>MAX('Growth Rules'!$B$8,ROUND(('Growth Rules'!$B$4+'Growth Rules'!$B$5*($K178-'Growth Rules'!$B$6))*(J178/($K178/6))^'Growth Rules'!$B$7,0))</x:f>
        <x:v>56</x:v>
      </x:c>
      <x:c r="R178" s="66" t="n">
        <x:f>SUM(L178:Q178)/100</x:f>
        <x:v>3.02</x:v>
      </x:c>
      <x:c r="S178" s="62" t="str"/>
      <x:c r="T178" s="62" t="str"/>
      <x:c r="U178" s="62" t="str"/>
      <x:c r="V178" s="62" t="str"/>
      <x:c r="W178" s="62" t="str"/>
      <x:c r="X178" s="62" t="str"/>
      <x:c r="Y178" s="62" t="str">
        <x:v>Regional_Dex_Stats_and_Abilities_COMPLETE_v2.xlsx + Regional_Dex_Progression_Learnsets_v3.xlsx</x:v>
      </x:c>
    </x:row>
    <x:row r="179">
      <x:c r="A179" s="60" t="n">
        <x:v>176</x:v>
      </x:c>
      <x:c r="B179" s="62" t="str">
        <x:v>Paleursa</x:v>
      </x:c>
      <x:c r="C179" s="62" t="str">
        <x:v>Rock</x:v>
      </x:c>
      <x:c r="D179" s="62" t="str">
        <x:v>Ice</x:v>
      </x:c>
      <x:c r="E179" s="60" t="n">
        <x:v>100</x:v>
      </x:c>
      <x:c r="F179" s="60" t="n">
        <x:v>125</x:v>
      </x:c>
      <x:c r="G179" s="60" t="n">
        <x:v>125</x:v>
      </x:c>
      <x:c r="H179" s="60" t="n">
        <x:v>45</x:v>
      </x:c>
      <x:c r="I179" s="60" t="n">
        <x:v>75</x:v>
      </x:c>
      <x:c r="J179" s="60" t="n">
        <x:v>45</x:v>
      </x:c>
      <x:c r="K179" s="60" t="n">
        <x:v>515</x:v>
      </x:c>
      <x:c r="L179" s="64" t="n">
        <x:f>MAX('Growth Rules'!$B$8,ROUND(('Growth Rules'!$B$4+'Growth Rules'!$B$5*($K179-'Growth Rules'!$B$6))*(E179/($K179/6))^'Growth Rules'!$B$7,0))</x:f>
        <x:v>63</x:v>
      </x:c>
      <x:c r="M179" s="64" t="n">
        <x:f>MAX('Growth Rules'!$B$8,ROUND(('Growth Rules'!$B$4+'Growth Rules'!$B$5*($K179-'Growth Rules'!$B$6))*(F179/($K179/6))^'Growth Rules'!$B$7,0))</x:f>
        <x:v>105</x:v>
      </x:c>
      <x:c r="N179" s="64" t="n">
        <x:f>MAX('Growth Rules'!$B$8,ROUND(('Growth Rules'!$B$4+'Growth Rules'!$B$5*($K179-'Growth Rules'!$B$6))*(G179/($K179/6))^'Growth Rules'!$B$7,0))</x:f>
        <x:v>105</x:v>
      </x:c>
      <x:c r="O179" s="64" t="n">
        <x:f>MAX('Growth Rules'!$B$8,ROUND(('Growth Rules'!$B$4+'Growth Rules'!$B$5*($K179-'Growth Rules'!$B$6))*(H179/($K179/6))^'Growth Rules'!$B$7,0))</x:f>
        <x:v>11</x:v>
      </x:c>
      <x:c r="P179" s="64" t="n">
        <x:f>MAX('Growth Rules'!$B$8,ROUND(('Growth Rules'!$B$4+'Growth Rules'!$B$5*($K179-'Growth Rules'!$B$6))*(I179/($K179/6))^'Growth Rules'!$B$7,0))</x:f>
        <x:v>33</x:v>
      </x:c>
      <x:c r="Q179" s="64" t="n">
        <x:f>MAX('Growth Rules'!$B$8,ROUND(('Growth Rules'!$B$4+'Growth Rules'!$B$5*($K179-'Growth Rules'!$B$6))*(J179/($K179/6))^'Growth Rules'!$B$7,0))</x:f>
        <x:v>11</x:v>
      </x:c>
      <x:c r="R179" s="66" t="n">
        <x:f>SUM(L179:Q179)/100</x:f>
        <x:v>3.28</x:v>
      </x:c>
      <x:c r="S179" s="62" t="str"/>
      <x:c r="T179" s="62" t="str"/>
      <x:c r="U179" s="62" t="str"/>
      <x:c r="V179" s="62" t="str"/>
      <x:c r="W179" s="62" t="str"/>
      <x:c r="X179" s="62" t="str"/>
      <x:c r="Y179" s="62" t="str">
        <x:v>Regional_Dex_Stats_and_Abilities_COMPLETE_v2.xlsx + Regional_Dex_Progression_Learnsets_v3.xlsx</x:v>
      </x:c>
    </x:row>
    <x:row r="180">
      <x:c r="A180" s="60" t="n">
        <x:v>177</x:v>
      </x:c>
      <x:c r="B180" s="62" t="str">
        <x:v>Raptyrale</x:v>
      </x:c>
      <x:c r="C180" s="62" t="str">
        <x:v>Rock</x:v>
      </x:c>
      <x:c r="D180" s="62" t="str">
        <x:v>Dragon</x:v>
      </x:c>
      <x:c r="E180" s="60" t="n">
        <x:v>65</x:v>
      </x:c>
      <x:c r="F180" s="60" t="n">
        <x:v>125</x:v>
      </x:c>
      <x:c r="G180" s="60" t="n">
        <x:v>75</x:v>
      </x:c>
      <x:c r="H180" s="60" t="n">
        <x:v>50</x:v>
      </x:c>
      <x:c r="I180" s="60" t="n">
        <x:v>75</x:v>
      </x:c>
      <x:c r="J180" s="60" t="n">
        <x:v>125</x:v>
      </x:c>
      <x:c r="K180" s="60" t="n">
        <x:v>515</x:v>
      </x:c>
      <x:c r="L180" s="64" t="n">
        <x:f>MAX('Growth Rules'!$B$8,ROUND(('Growth Rules'!$B$4+'Growth Rules'!$B$5*($K180-'Growth Rules'!$B$6))*(E180/($K180/6))^'Growth Rules'!$B$7,0))</x:f>
        <x:v>24</x:v>
      </x:c>
      <x:c r="M180" s="64" t="n">
        <x:f>MAX('Growth Rules'!$B$8,ROUND(('Growth Rules'!$B$4+'Growth Rules'!$B$5*($K180-'Growth Rules'!$B$6))*(F180/($K180/6))^'Growth Rules'!$B$7,0))</x:f>
        <x:v>105</x:v>
      </x:c>
      <x:c r="N180" s="64" t="n">
        <x:f>MAX('Growth Rules'!$B$8,ROUND(('Growth Rules'!$B$4+'Growth Rules'!$B$5*($K180-'Growth Rules'!$B$6))*(G180/($K180/6))^'Growth Rules'!$B$7,0))</x:f>
        <x:v>33</x:v>
      </x:c>
      <x:c r="O180" s="64" t="n">
        <x:f>MAX('Growth Rules'!$B$8,ROUND(('Growth Rules'!$B$4+'Growth Rules'!$B$5*($K180-'Growth Rules'!$B$6))*(H180/($K180/6))^'Growth Rules'!$B$7,0))</x:f>
        <x:v>13</x:v>
      </x:c>
      <x:c r="P180" s="64" t="n">
        <x:f>MAX('Growth Rules'!$B$8,ROUND(('Growth Rules'!$B$4+'Growth Rules'!$B$5*($K180-'Growth Rules'!$B$6))*(I180/($K180/6))^'Growth Rules'!$B$7,0))</x:f>
        <x:v>33</x:v>
      </x:c>
      <x:c r="Q180" s="64" t="n">
        <x:f>MAX('Growth Rules'!$B$8,ROUND(('Growth Rules'!$B$4+'Growth Rules'!$B$5*($K180-'Growth Rules'!$B$6))*(J180/($K180/6))^'Growth Rules'!$B$7,0))</x:f>
        <x:v>105</x:v>
      </x:c>
      <x:c r="R180" s="66" t="n">
        <x:f>SUM(L180:Q180)/100</x:f>
        <x:v>3.13</x:v>
      </x:c>
      <x:c r="S180" s="62" t="str"/>
      <x:c r="T180" s="62" t="str"/>
      <x:c r="U180" s="62" t="str"/>
      <x:c r="V180" s="62" t="str"/>
      <x:c r="W180" s="62" t="str"/>
      <x:c r="X180" s="62" t="str"/>
      <x:c r="Y180" s="62" t="str">
        <x:v>Regional_Dex_Stats_and_Abilities_COMPLETE_v2.xlsx + Regional_Dex_Progression_Learnsets_v3.xlsx</x:v>
      </x:c>
    </x:row>
    <x:row r="181">
      <x:c r="A181" s="60" t="n">
        <x:v>178</x:v>
      </x:c>
      <x:c r="B181" s="62" t="str">
        <x:v>Sidermite</x:v>
      </x:c>
      <x:c r="C181" s="62" t="str">
        <x:v>Rock</x:v>
      </x:c>
      <x:c r="D181" s="62" t="str">
        <x:v>Electric</x:v>
      </x:c>
      <x:c r="E181" s="60" t="n">
        <x:v>50</x:v>
      </x:c>
      <x:c r="F181" s="60" t="n">
        <x:v>35</x:v>
      </x:c>
      <x:c r="G181" s="60" t="n">
        <x:v>70</x:v>
      </x:c>
      <x:c r="H181" s="60" t="n">
        <x:v>60</x:v>
      </x:c>
      <x:c r="I181" s="60" t="n">
        <x:v>70</x:v>
      </x:c>
      <x:c r="J181" s="60" t="n">
        <x:v>45</x:v>
      </x:c>
      <x:c r="K181" s="60" t="n">
        <x:v>330</x:v>
      </x:c>
      <x:c r="L181" s="64" t="n">
        <x:f>MAX('Growth Rules'!$B$8,ROUND(('Growth Rules'!$B$4+'Growth Rules'!$B$5*($K181-'Growth Rules'!$B$6))*(E181/($K181/6))^'Growth Rules'!$B$7,0))</x:f>
        <x:v>27</x:v>
      </x:c>
      <x:c r="M181" s="64" t="n">
        <x:f>MAX('Growth Rules'!$B$8,ROUND(('Growth Rules'!$B$4+'Growth Rules'!$B$5*($K181-'Growth Rules'!$B$6))*(F181/($K181/6))^'Growth Rules'!$B$7,0))</x:f>
        <x:v>12</x:v>
      </x:c>
      <x:c r="N181" s="64" t="n">
        <x:f>MAX('Growth Rules'!$B$8,ROUND(('Growth Rules'!$B$4+'Growth Rules'!$B$5*($K181-'Growth Rules'!$B$6))*(G181/($K181/6))^'Growth Rules'!$B$7,0))</x:f>
        <x:v>58</x:v>
      </x:c>
      <x:c r="O181" s="64" t="n">
        <x:f>MAX('Growth Rules'!$B$8,ROUND(('Growth Rules'!$B$4+'Growth Rules'!$B$5*($K181-'Growth Rules'!$B$6))*(H181/($K181/6))^'Growth Rules'!$B$7,0))</x:f>
        <x:v>41</x:v>
      </x:c>
      <x:c r="P181" s="64" t="n">
        <x:f>MAX('Growth Rules'!$B$8,ROUND(('Growth Rules'!$B$4+'Growth Rules'!$B$5*($K181-'Growth Rules'!$B$6))*(I181/($K181/6))^'Growth Rules'!$B$7,0))</x:f>
        <x:v>58</x:v>
      </x:c>
      <x:c r="Q181" s="64" t="n">
        <x:f>MAX('Growth Rules'!$B$8,ROUND(('Growth Rules'!$B$4+'Growth Rules'!$B$5*($K181-'Growth Rules'!$B$6))*(J181/($K181/6))^'Growth Rules'!$B$7,0))</x:f>
        <x:v>22</x:v>
      </x:c>
      <x:c r="R181" s="66" t="n">
        <x:f>SUM(L181:Q181)/100</x:f>
        <x:v>2.18</x:v>
      </x:c>
      <x:c r="S181" s="62" t="str">
        <x:v>Xenolithid</x:v>
      </x:c>
      <x:c r="T181" s="62" t="str">
        <x:v>LEVEL</x:v>
      </x:c>
      <x:c r="U181" s="62" t="str">
        <x:v>40</x:v>
      </x:c>
      <x:c r="V181" s="62" t="str"/>
      <x:c r="W181" s="62" t="str">
        <x:v>40</x:v>
      </x:c>
      <x:c r="X181" s="62" t="str">
        <x:v>KEEP EXISTING / VALIDATED</x:v>
      </x:c>
      <x:c r="Y181" s="62" t="str">
        <x:v>Regional_Dex_Stats_and_Abilities_COMPLETE_v2.xlsx + Regional_Dex_Progression_Learnsets_v3.xlsx</x:v>
      </x:c>
    </x:row>
    <x:row r="182">
      <x:c r="A182" s="60" t="n">
        <x:v>179</x:v>
      </x:c>
      <x:c r="B182" s="62" t="str">
        <x:v>Xenolithid</x:v>
      </x:c>
      <x:c r="C182" s="62" t="str">
        <x:v>Rock</x:v>
      </x:c>
      <x:c r="D182" s="62" t="str">
        <x:v>Electric</x:v>
      </x:c>
      <x:c r="E182" s="60" t="n">
        <x:v>95</x:v>
      </x:c>
      <x:c r="F182" s="60" t="n">
        <x:v>55</x:v>
      </x:c>
      <x:c r="G182" s="60" t="n">
        <x:v>95</x:v>
      </x:c>
      <x:c r="H182" s="60" t="n">
        <x:v>115</x:v>
      </x:c>
      <x:c r="I182" s="60" t="n">
        <x:v>95</x:v>
      </x:c>
      <x:c r="J182" s="60" t="n">
        <x:v>55</x:v>
      </x:c>
      <x:c r="K182" s="60" t="n">
        <x:v>510</x:v>
      </x:c>
      <x:c r="L182" s="64" t="n">
        <x:f>MAX('Growth Rules'!$B$8,ROUND(('Growth Rules'!$B$4+'Growth Rules'!$B$5*($K182-'Growth Rules'!$B$6))*(E182/($K182/6))^'Growth Rules'!$B$7,0))</x:f>
        <x:v>57</x:v>
      </x:c>
      <x:c r="M182" s="64" t="n">
        <x:f>MAX('Growth Rules'!$B$8,ROUND(('Growth Rules'!$B$4+'Growth Rules'!$B$5*($K182-'Growth Rules'!$B$6))*(F182/($K182/6))^'Growth Rules'!$B$7,0))</x:f>
        <x:v>17</x:v>
      </x:c>
      <x:c r="N182" s="64" t="n">
        <x:f>MAX('Growth Rules'!$B$8,ROUND(('Growth Rules'!$B$4+'Growth Rules'!$B$5*($K182-'Growth Rules'!$B$6))*(G182/($K182/6))^'Growth Rules'!$B$7,0))</x:f>
        <x:v>57</x:v>
      </x:c>
      <x:c r="O182" s="64" t="n">
        <x:f>MAX('Growth Rules'!$B$8,ROUND(('Growth Rules'!$B$4+'Growth Rules'!$B$5*($K182-'Growth Rules'!$B$6))*(H182/($K182/6))^'Growth Rules'!$B$7,0))</x:f>
        <x:v>88</x:v>
      </x:c>
      <x:c r="P182" s="64" t="n">
        <x:f>MAX('Growth Rules'!$B$8,ROUND(('Growth Rules'!$B$4+'Growth Rules'!$B$5*($K182-'Growth Rules'!$B$6))*(I182/($K182/6))^'Growth Rules'!$B$7,0))</x:f>
        <x:v>57</x:v>
      </x:c>
      <x:c r="Q182" s="64" t="n">
        <x:f>MAX('Growth Rules'!$B$8,ROUND(('Growth Rules'!$B$4+'Growth Rules'!$B$5*($K182-'Growth Rules'!$B$6))*(J182/($K182/6))^'Growth Rules'!$B$7,0))</x:f>
        <x:v>17</x:v>
      </x:c>
      <x:c r="R182" s="66" t="n">
        <x:f>SUM(L182:Q182)/100</x:f>
        <x:v>2.93</x:v>
      </x:c>
      <x:c r="S182" s="62" t="str"/>
      <x:c r="T182" s="62" t="str"/>
      <x:c r="U182" s="62" t="str"/>
      <x:c r="V182" s="62" t="str"/>
      <x:c r="W182" s="62" t="str"/>
      <x:c r="X182" s="62" t="str"/>
      <x:c r="Y182" s="62" t="str">
        <x:v>Regional_Dex_Stats_and_Abilities_COMPLETE_v2.xlsx + Regional_Dex_Progression_Learnsets_v3.xlsx</x:v>
      </x:c>
    </x:row>
    <x:row r="183">
      <x:c r="A183" s="60" t="n">
        <x:v>180</x:v>
      </x:c>
      <x:c r="B183" s="62" t="str">
        <x:v>Gravodo</x:v>
      </x:c>
      <x:c r="C183" s="62" t="str">
        <x:v>Rock</x:v>
      </x:c>
      <x:c r="D183" s="62" t="str">
        <x:v>Poison</x:v>
      </x:c>
      <x:c r="E183" s="60" t="n">
        <x:v>60</x:v>
      </x:c>
      <x:c r="F183" s="60" t="n">
        <x:v>60</x:v>
      </x:c>
      <x:c r="G183" s="60" t="n">
        <x:v>75</x:v>
      </x:c>
      <x:c r="H183" s="60" t="n">
        <x:v>35</x:v>
      </x:c>
      <x:c r="I183" s="60" t="n">
        <x:v>55</x:v>
      </x:c>
      <x:c r="J183" s="60" t="n">
        <x:v>35</x:v>
      </x:c>
      <x:c r="K183" s="60" t="n">
        <x:v>320</x:v>
      </x:c>
      <x:c r="L183" s="64" t="n">
        <x:f>MAX('Growth Rules'!$B$8,ROUND(('Growth Rules'!$B$4+'Growth Rules'!$B$5*($K183-'Growth Rules'!$B$6))*(E183/($K183/6))^'Growth Rules'!$B$7,0))</x:f>
        <x:v>43</x:v>
      </x:c>
      <x:c r="M183" s="64" t="n">
        <x:f>MAX('Growth Rules'!$B$8,ROUND(('Growth Rules'!$B$4+'Growth Rules'!$B$5*($K183-'Growth Rules'!$B$6))*(F183/($K183/6))^'Growth Rules'!$B$7,0))</x:f>
        <x:v>43</x:v>
      </x:c>
      <x:c r="N183" s="64" t="n">
        <x:f>MAX('Growth Rules'!$B$8,ROUND(('Growth Rules'!$B$4+'Growth Rules'!$B$5*($K183-'Growth Rules'!$B$6))*(G183/($K183/6))^'Growth Rules'!$B$7,0))</x:f>
        <x:v>71</x:v>
      </x:c>
      <x:c r="O183" s="64" t="n">
        <x:f>MAX('Growth Rules'!$B$8,ROUND(('Growth Rules'!$B$4+'Growth Rules'!$B$5*($K183-'Growth Rules'!$B$6))*(H183/($K183/6))^'Growth Rules'!$B$7,0))</x:f>
        <x:v>13</x:v>
      </x:c>
      <x:c r="P183" s="64" t="n">
        <x:f>MAX('Growth Rules'!$B$8,ROUND(('Growth Rules'!$B$4+'Growth Rules'!$B$5*($K183-'Growth Rules'!$B$6))*(I183/($K183/6))^'Growth Rules'!$B$7,0))</x:f>
        <x:v>36</x:v>
      </x:c>
      <x:c r="Q183" s="64" t="n">
        <x:f>MAX('Growth Rules'!$B$8,ROUND(('Growth Rules'!$B$4+'Growth Rules'!$B$5*($K183-'Growth Rules'!$B$6))*(J183/($K183/6))^'Growth Rules'!$B$7,0))</x:f>
        <x:v>13</x:v>
      </x:c>
      <x:c r="R183" s="66" t="n">
        <x:f>SUM(L183:Q183)/100</x:f>
        <x:v>2.19</x:v>
      </x:c>
      <x:c r="S183" s="62" t="str">
        <x:v>Cairnodo</x:v>
      </x:c>
      <x:c r="T183" s="62" t="str">
        <x:v>LEVEL</x:v>
      </x:c>
      <x:c r="U183" s="62" t="str">
        <x:v>28</x:v>
      </x:c>
      <x:c r="V183" s="62" t="str"/>
      <x:c r="W183" s="62" t="str">
        <x:v>28</x:v>
      </x:c>
      <x:c r="X183" s="62" t="str">
        <x:v>KEEP EXISTING / VALIDATED</x:v>
      </x:c>
      <x:c r="Y183" s="62" t="str">
        <x:v>Regional_Dex_Stats_and_Abilities_COMPLETE_v2.xlsx + Regional_Dex_Progression_Learnsets_v3.xlsx</x:v>
      </x:c>
    </x:row>
    <x:row r="184">
      <x:c r="A184" s="60" t="n">
        <x:v>181</x:v>
      </x:c>
      <x:c r="B184" s="62" t="str">
        <x:v>Cairnodo</x:v>
      </x:c>
      <x:c r="C184" s="62" t="str">
        <x:v>Rock</x:v>
      </x:c>
      <x:c r="D184" s="62" t="str">
        <x:v>Poison</x:v>
      </x:c>
      <x:c r="E184" s="60" t="n">
        <x:v>85</x:v>
      </x:c>
      <x:c r="F184" s="60" t="n">
        <x:v>85</x:v>
      </x:c>
      <x:c r="G184" s="60" t="n">
        <x:v>90</x:v>
      </x:c>
      <x:c r="H184" s="60" t="n">
        <x:v>40</x:v>
      </x:c>
      <x:c r="I184" s="60" t="n">
        <x:v>75</x:v>
      </x:c>
      <x:c r="J184" s="60" t="n">
        <x:v>40</x:v>
      </x:c>
      <x:c r="K184" s="60" t="n">
        <x:v>415</x:v>
      </x:c>
      <x:c r="L184" s="64" t="n">
        <x:f>MAX('Growth Rules'!$B$8,ROUND(('Growth Rules'!$B$4+'Growth Rules'!$B$5*($K184-'Growth Rules'!$B$6))*(E184/($K184/6))^'Growth Rules'!$B$7,0))</x:f>
        <x:v>62</x:v>
      </x:c>
      <x:c r="M184" s="64" t="n">
        <x:f>MAX('Growth Rules'!$B$8,ROUND(('Growth Rules'!$B$4+'Growth Rules'!$B$5*($K184-'Growth Rules'!$B$6))*(F184/($K184/6))^'Growth Rules'!$B$7,0))</x:f>
        <x:v>62</x:v>
      </x:c>
      <x:c r="N184" s="64" t="n">
        <x:f>MAX('Growth Rules'!$B$8,ROUND(('Growth Rules'!$B$4+'Growth Rules'!$B$5*($K184-'Growth Rules'!$B$6))*(G184/($K184/6))^'Growth Rules'!$B$7,0))</x:f>
        <x:v>70</x:v>
      </x:c>
      <x:c r="O184" s="64" t="n">
        <x:f>MAX('Growth Rules'!$B$8,ROUND(('Growth Rules'!$B$4+'Growth Rules'!$B$5*($K184-'Growth Rules'!$B$6))*(H184/($K184/6))^'Growth Rules'!$B$7,0))</x:f>
        <x:v>11</x:v>
      </x:c>
      <x:c r="P184" s="64" t="n">
        <x:f>MAX('Growth Rules'!$B$8,ROUND(('Growth Rules'!$B$4+'Growth Rules'!$B$5*($K184-'Growth Rules'!$B$6))*(I184/($K184/6))^'Growth Rules'!$B$7,0))</x:f>
        <x:v>47</x:v>
      </x:c>
      <x:c r="Q184" s="64" t="n">
        <x:f>MAX('Growth Rules'!$B$8,ROUND(('Growth Rules'!$B$4+'Growth Rules'!$B$5*($K184-'Growth Rules'!$B$6))*(J184/($K184/6))^'Growth Rules'!$B$7,0))</x:f>
        <x:v>11</x:v>
      </x:c>
      <x:c r="R184" s="66" t="n">
        <x:f>SUM(L184:Q184)/100</x:f>
        <x:v>2.63</x:v>
      </x:c>
      <x:c r="S184" s="62" t="str">
        <x:v>Kronodo</x:v>
      </x:c>
      <x:c r="T184" s="62" t="str">
        <x:v>LEVEL</x:v>
      </x:c>
      <x:c r="U184" s="62" t="str">
        <x:v>48</x:v>
      </x:c>
      <x:c r="V184" s="62" t="str"/>
      <x:c r="W184" s="62" t="str">
        <x:v>48</x:v>
      </x:c>
      <x:c r="X184" s="62" t="str">
        <x:v>KEEP EXISTING / VALIDATED</x:v>
      </x:c>
      <x:c r="Y184" s="62" t="str">
        <x:v>Regional_Dex_Stats_and_Abilities_COMPLETE_v2.xlsx + Regional_Dex_Progression_Learnsets_v3.xlsx</x:v>
      </x:c>
    </x:row>
    <x:row r="185">
      <x:c r="A185" s="60" t="n">
        <x:v>182</x:v>
      </x:c>
      <x:c r="B185" s="62" t="str">
        <x:v>Kronodo</x:v>
      </x:c>
      <x:c r="C185" s="62" t="str">
        <x:v>Rock</x:v>
      </x:c>
      <x:c r="D185" s="62" t="str">
        <x:v>Poison</x:v>
      </x:c>
      <x:c r="E185" s="60" t="n">
        <x:v>100</x:v>
      </x:c>
      <x:c r="F185" s="60" t="n">
        <x:v>125</x:v>
      </x:c>
      <x:c r="G185" s="60" t="n">
        <x:v>125</x:v>
      </x:c>
      <x:c r="H185" s="60" t="n">
        <x:v>50</x:v>
      </x:c>
      <x:c r="I185" s="60" t="n">
        <x:v>100</x:v>
      </x:c>
      <x:c r="J185" s="60" t="n">
        <x:v>35</x:v>
      </x:c>
      <x:c r="K185" s="60" t="n">
        <x:v>535</x:v>
      </x:c>
      <x:c r="L185" s="64" t="n">
        <x:f>MAX('Growth Rules'!$B$8,ROUND(('Growth Rules'!$B$4+'Growth Rules'!$B$5*($K185-'Growth Rules'!$B$6))*(E185/($K185/6))^'Growth Rules'!$B$7,0))</x:f>
        <x:v>60</x:v>
      </x:c>
      <x:c r="M185" s="64" t="n">
        <x:f>MAX('Growth Rules'!$B$8,ROUND(('Growth Rules'!$B$4+'Growth Rules'!$B$5*($K185-'Growth Rules'!$B$6))*(F185/($K185/6))^'Growth Rules'!$B$7,0))</x:f>
        <x:v>99</x:v>
      </x:c>
      <x:c r="N185" s="64" t="n">
        <x:f>MAX('Growth Rules'!$B$8,ROUND(('Growth Rules'!$B$4+'Growth Rules'!$B$5*($K185-'Growth Rules'!$B$6))*(G185/($K185/6))^'Growth Rules'!$B$7,0))</x:f>
        <x:v>99</x:v>
      </x:c>
      <x:c r="O185" s="64" t="n">
        <x:f>MAX('Growth Rules'!$B$8,ROUND(('Growth Rules'!$B$4+'Growth Rules'!$B$5*($K185-'Growth Rules'!$B$6))*(H185/($K185/6))^'Growth Rules'!$B$7,0))</x:f>
        <x:v>13</x:v>
      </x:c>
      <x:c r="P185" s="64" t="n">
        <x:f>MAX('Growth Rules'!$B$8,ROUND(('Growth Rules'!$B$4+'Growth Rules'!$B$5*($K185-'Growth Rules'!$B$6))*(I185/($K185/6))^'Growth Rules'!$B$7,0))</x:f>
        <x:v>60</x:v>
      </x:c>
      <x:c r="Q185" s="64" t="n">
        <x:f>MAX('Growth Rules'!$B$8,ROUND(('Growth Rules'!$B$4+'Growth Rules'!$B$5*($K185-'Growth Rules'!$B$6))*(J185/($K185/6))^'Growth Rules'!$B$7,0))</x:f>
        <x:v>10</x:v>
      </x:c>
      <x:c r="R185" s="66" t="n">
        <x:f>SUM(L185:Q185)/100</x:f>
        <x:v>3.41</x:v>
      </x:c>
      <x:c r="S185" s="62" t="str"/>
      <x:c r="T185" s="62" t="str"/>
      <x:c r="U185" s="62" t="str"/>
      <x:c r="V185" s="62" t="str"/>
      <x:c r="W185" s="62" t="str"/>
      <x:c r="X185" s="62" t="str"/>
      <x:c r="Y185" s="62" t="str">
        <x:v>Regional_Dex_Stats_and_Abilities_COMPLETE_v2.xlsx + Regional_Dex_Progression_Learnsets_v3.xlsx</x:v>
      </x:c>
    </x:row>
    <x:row r="186">
      <x:c r="A186" s="60" t="n">
        <x:v>183</x:v>
      </x:c>
      <x:c r="B186" s="62" t="str">
        <x:v>Guanrong</x:v>
      </x:c>
      <x:c r="C186" s="62" t="str">
        <x:v>Grass</x:v>
      </x:c>
      <x:c r="D186" s="62" t="str">
        <x:v>Steel</x:v>
      </x:c>
      <x:c r="E186" s="60" t="n">
        <x:v>105</x:v>
      </x:c>
      <x:c r="F186" s="60" t="n">
        <x:v>110</x:v>
      </x:c>
      <x:c r="G186" s="60" t="n">
        <x:v>110</x:v>
      </x:c>
      <x:c r="H186" s="60" t="n">
        <x:v>80</x:v>
      </x:c>
      <x:c r="I186" s="60" t="n">
        <x:v>105</x:v>
      </x:c>
      <x:c r="J186" s="60" t="n">
        <x:v>90</x:v>
      </x:c>
      <x:c r="K186" s="60" t="n">
        <x:v>600</x:v>
      </x:c>
      <x:c r="L186" s="64" t="n">
        <x:f>MAX('Growth Rules'!$B$8,ROUND(('Growth Rules'!$B$4+'Growth Rules'!$B$5*($K186-'Growth Rules'!$B$6))*(E186/($K186/6))^'Growth Rules'!$B$7,0))</x:f>
        <x:v>56</x:v>
      </x:c>
      <x:c r="M186" s="64" t="n">
        <x:f>MAX('Growth Rules'!$B$8,ROUND(('Growth Rules'!$B$4+'Growth Rules'!$B$5*($K186-'Growth Rules'!$B$6))*(F186/($K186/6))^'Growth Rules'!$B$7,0))</x:f>
        <x:v>62</x:v>
      </x:c>
      <x:c r="N186" s="64" t="n">
        <x:f>MAX('Growth Rules'!$B$8,ROUND(('Growth Rules'!$B$4+'Growth Rules'!$B$5*($K186-'Growth Rules'!$B$6))*(G186/($K186/6))^'Growth Rules'!$B$7,0))</x:f>
        <x:v>62</x:v>
      </x:c>
      <x:c r="O186" s="64" t="n">
        <x:f>MAX('Growth Rules'!$B$8,ROUND(('Growth Rules'!$B$4+'Growth Rules'!$B$5*($K186-'Growth Rules'!$B$6))*(H186/($K186/6))^'Growth Rules'!$B$7,0))</x:f>
        <x:v>30</x:v>
      </x:c>
      <x:c r="P186" s="64" t="n">
        <x:f>MAX('Growth Rules'!$B$8,ROUND(('Growth Rules'!$B$4+'Growth Rules'!$B$5*($K186-'Growth Rules'!$B$6))*(I186/($K186/6))^'Growth Rules'!$B$7,0))</x:f>
        <x:v>56</x:v>
      </x:c>
      <x:c r="Q186" s="64" t="n">
        <x:f>MAX('Growth Rules'!$B$8,ROUND(('Growth Rules'!$B$4+'Growth Rules'!$B$5*($K186-'Growth Rules'!$B$6))*(J186/($K186/6))^'Growth Rules'!$B$7,0))</x:f>
        <x:v>39</x:v>
      </x:c>
      <x:c r="R186" s="66" t="n">
        <x:f>SUM(L186:Q186)/100</x:f>
        <x:v>3.05</x:v>
      </x:c>
      <x:c r="S186" s="62" t="str"/>
      <x:c r="T186" s="62" t="str"/>
      <x:c r="U186" s="62" t="str"/>
      <x:c r="V186" s="62" t="str"/>
      <x:c r="W186" s="62" t="str"/>
      <x:c r="X186" s="62" t="str"/>
      <x:c r="Y186" s="62" t="str">
        <x:v>Regional_Dex_Stats_and_Abilities_COMPLETE_v2.xlsx + Regional_Dex_Progression_Learnsets_v3.xlsx</x:v>
      </x:c>
    </x:row>
    <x:row r="187">
      <x:c r="A187" s="60" t="n">
        <x:v>184</x:v>
      </x:c>
      <x:c r="B187" s="62" t="str">
        <x:v>Liubeirow</x:v>
      </x:c>
      <x:c r="C187" s="62" t="str">
        <x:v>Grass</x:v>
      </x:c>
      <x:c r="D187" s="62" t="str">
        <x:v>Fairy</x:v>
      </x:c>
      <x:c r="E187" s="60" t="n">
        <x:v>105</x:v>
      </x:c>
      <x:c r="F187" s="60" t="n">
        <x:v>90</x:v>
      </x:c>
      <x:c r="G187" s="60" t="n">
        <x:v>90</x:v>
      </x:c>
      <x:c r="H187" s="60" t="n">
        <x:v>105</x:v>
      </x:c>
      <x:c r="I187" s="60" t="n">
        <x:v>105</x:v>
      </x:c>
      <x:c r="J187" s="60" t="n">
        <x:v>105</x:v>
      </x:c>
      <x:c r="K187" s="60" t="n">
        <x:v>600</x:v>
      </x:c>
      <x:c r="L187" s="64" t="n">
        <x:f>MAX('Growth Rules'!$B$8,ROUND(('Growth Rules'!$B$4+'Growth Rules'!$B$5*($K187-'Growth Rules'!$B$6))*(E187/($K187/6))^'Growth Rules'!$B$7,0))</x:f>
        <x:v>56</x:v>
      </x:c>
      <x:c r="M187" s="64" t="n">
        <x:f>MAX('Growth Rules'!$B$8,ROUND(('Growth Rules'!$B$4+'Growth Rules'!$B$5*($K187-'Growth Rules'!$B$6))*(F187/($K187/6))^'Growth Rules'!$B$7,0))</x:f>
        <x:v>39</x:v>
      </x:c>
      <x:c r="N187" s="64" t="n">
        <x:f>MAX('Growth Rules'!$B$8,ROUND(('Growth Rules'!$B$4+'Growth Rules'!$B$5*($K187-'Growth Rules'!$B$6))*(G187/($K187/6))^'Growth Rules'!$B$7,0))</x:f>
        <x:v>39</x:v>
      </x:c>
      <x:c r="O187" s="64" t="n">
        <x:f>MAX('Growth Rules'!$B$8,ROUND(('Growth Rules'!$B$4+'Growth Rules'!$B$5*($K187-'Growth Rules'!$B$6))*(H187/($K187/6))^'Growth Rules'!$B$7,0))</x:f>
        <x:v>56</x:v>
      </x:c>
      <x:c r="P187" s="64" t="n">
        <x:f>MAX('Growth Rules'!$B$8,ROUND(('Growth Rules'!$B$4+'Growth Rules'!$B$5*($K187-'Growth Rules'!$B$6))*(I187/($K187/6))^'Growth Rules'!$B$7,0))</x:f>
        <x:v>56</x:v>
      </x:c>
      <x:c r="Q187" s="64" t="n">
        <x:f>MAX('Growth Rules'!$B$8,ROUND(('Growth Rules'!$B$4+'Growth Rules'!$B$5*($K187-'Growth Rules'!$B$6))*(J187/($K187/6))^'Growth Rules'!$B$7,0))</x:f>
        <x:v>56</x:v>
      </x:c>
      <x:c r="R187" s="66" t="n">
        <x:f>SUM(L187:Q187)/100</x:f>
        <x:v>3.02</x:v>
      </x:c>
      <x:c r="S187" s="62" t="str"/>
      <x:c r="T187" s="62" t="str"/>
      <x:c r="U187" s="62" t="str"/>
      <x:c r="V187" s="62" t="str"/>
      <x:c r="W187" s="62" t="str"/>
      <x:c r="X187" s="62" t="str"/>
      <x:c r="Y187" s="62" t="str">
        <x:v>Regional_Dex_Stats_and_Abilities_COMPLETE_v2.xlsx + Regional_Dex_Progression_Learnsets_v3.xlsx</x:v>
      </x:c>
    </x:row>
    <x:row r="188">
      <x:c r="A188" s="60" t="n">
        <x:v>185</x:v>
      </x:c>
      <x:c r="B188" s="62" t="str">
        <x:v>Waranwei</x:v>
      </x:c>
      <x:c r="C188" s="62" t="str">
        <x:v>Poison</x:v>
      </x:c>
      <x:c r="D188" s="62" t="str">
        <x:v>Dragon</x:v>
      </x:c>
      <x:c r="E188" s="60" t="n">
        <x:v>90</x:v>
      </x:c>
      <x:c r="F188" s="60" t="n">
        <x:v>105</x:v>
      </x:c>
      <x:c r="G188" s="60" t="n">
        <x:v>90</x:v>
      </x:c>
      <x:c r="H188" s="60" t="n">
        <x:v>105</x:v>
      </x:c>
      <x:c r="I188" s="60" t="n">
        <x:v>105</x:v>
      </x:c>
      <x:c r="J188" s="60" t="n">
        <x:v>105</x:v>
      </x:c>
      <x:c r="K188" s="60" t="n">
        <x:v>600</x:v>
      </x:c>
      <x:c r="L188" s="64" t="n">
        <x:f>MAX('Growth Rules'!$B$8,ROUND(('Growth Rules'!$B$4+'Growth Rules'!$B$5*($K188-'Growth Rules'!$B$6))*(E188/($K188/6))^'Growth Rules'!$B$7,0))</x:f>
        <x:v>39</x:v>
      </x:c>
      <x:c r="M188" s="64" t="n">
        <x:f>MAX('Growth Rules'!$B$8,ROUND(('Growth Rules'!$B$4+'Growth Rules'!$B$5*($K188-'Growth Rules'!$B$6))*(F188/($K188/6))^'Growth Rules'!$B$7,0))</x:f>
        <x:v>56</x:v>
      </x:c>
      <x:c r="N188" s="64" t="n">
        <x:f>MAX('Growth Rules'!$B$8,ROUND(('Growth Rules'!$B$4+'Growth Rules'!$B$5*($K188-'Growth Rules'!$B$6))*(G188/($K188/6))^'Growth Rules'!$B$7,0))</x:f>
        <x:v>39</x:v>
      </x:c>
      <x:c r="O188" s="64" t="n">
        <x:f>MAX('Growth Rules'!$B$8,ROUND(('Growth Rules'!$B$4+'Growth Rules'!$B$5*($K188-'Growth Rules'!$B$6))*(H188/($K188/6))^'Growth Rules'!$B$7,0))</x:f>
        <x:v>56</x:v>
      </x:c>
      <x:c r="P188" s="64" t="n">
        <x:f>MAX('Growth Rules'!$B$8,ROUND(('Growth Rules'!$B$4+'Growth Rules'!$B$5*($K188-'Growth Rules'!$B$6))*(I188/($K188/6))^'Growth Rules'!$B$7,0))</x:f>
        <x:v>56</x:v>
      </x:c>
      <x:c r="Q188" s="64" t="n">
        <x:f>MAX('Growth Rules'!$B$8,ROUND(('Growth Rules'!$B$4+'Growth Rules'!$B$5*($K188-'Growth Rules'!$B$6))*(J188/($K188/6))^'Growth Rules'!$B$7,0))</x:f>
        <x:v>56</x:v>
      </x:c>
      <x:c r="R188" s="66" t="n">
        <x:f>SUM(L188:Q188)/100</x:f>
        <x:v>3.02</x:v>
      </x:c>
      <x:c r="S188" s="62" t="str"/>
      <x:c r="T188" s="62" t="str"/>
      <x:c r="U188" s="62" t="str"/>
      <x:c r="V188" s="62" t="str"/>
      <x:c r="W188" s="62" t="str"/>
      <x:c r="X188" s="62" t="str"/>
      <x:c r="Y188" s="62" t="str">
        <x:v>Regional_Dex_Stats_and_Abilities_COMPLETE_v2.xlsx + Regional_Dex_Progression_Learnsets_v3.xlsx</x:v>
      </x:c>
    </x:row>
    <x:row r="189">
      <x:c r="A189" s="60" t="n">
        <x:v>186</x:v>
      </x:c>
      <x:c r="B189" s="62" t="str">
        <x:v>Suncub</x:v>
      </x:c>
      <x:c r="C189" s="62" t="str">
        <x:v>Fire</x:v>
      </x:c>
      <x:c r="D189" s="62" t="str"/>
      <x:c r="E189" s="60" t="n">
        <x:v>60</x:v>
      </x:c>
      <x:c r="F189" s="60" t="n">
        <x:v>85</x:v>
      </x:c>
      <x:c r="G189" s="60" t="n">
        <x:v>60</x:v>
      </x:c>
      <x:c r="H189" s="60" t="n">
        <x:v>70</x:v>
      </x:c>
      <x:c r="I189" s="60" t="n">
        <x:v>60</x:v>
      </x:c>
      <x:c r="J189" s="60" t="n">
        <x:v>85</x:v>
      </x:c>
      <x:c r="K189" s="60" t="n">
        <x:v>420</x:v>
      </x:c>
      <x:c r="L189" s="64" t="n">
        <x:f>MAX('Growth Rules'!$B$8,ROUND(('Growth Rules'!$B$4+'Growth Rules'!$B$5*($K189-'Growth Rules'!$B$6))*(E189/($K189/6))^'Growth Rules'!$B$7,0))</x:f>
        <x:v>28</x:v>
      </x:c>
      <x:c r="M189" s="64" t="n">
        <x:f>MAX('Growth Rules'!$B$8,ROUND(('Growth Rules'!$B$4+'Growth Rules'!$B$5*($K189-'Growth Rules'!$B$6))*(F189/($K189/6))^'Growth Rules'!$B$7,0))</x:f>
        <x:v>61</x:v>
      </x:c>
      <x:c r="N189" s="64" t="n">
        <x:f>MAX('Growth Rules'!$B$8,ROUND(('Growth Rules'!$B$4+'Growth Rules'!$B$5*($K189-'Growth Rules'!$B$6))*(G189/($K189/6))^'Growth Rules'!$B$7,0))</x:f>
        <x:v>28</x:v>
      </x:c>
      <x:c r="O189" s="64" t="n">
        <x:f>MAX('Growth Rules'!$B$8,ROUND(('Growth Rules'!$B$4+'Growth Rules'!$B$5*($K189-'Growth Rules'!$B$6))*(H189/($K189/6))^'Growth Rules'!$B$7,0))</x:f>
        <x:v>39</x:v>
      </x:c>
      <x:c r="P189" s="64" t="n">
        <x:f>MAX('Growth Rules'!$B$8,ROUND(('Growth Rules'!$B$4+'Growth Rules'!$B$5*($K189-'Growth Rules'!$B$6))*(I189/($K189/6))^'Growth Rules'!$B$7,0))</x:f>
        <x:v>28</x:v>
      </x:c>
      <x:c r="Q189" s="64" t="n">
        <x:f>MAX('Growth Rules'!$B$8,ROUND(('Growth Rules'!$B$4+'Growth Rules'!$B$5*($K189-'Growth Rules'!$B$6))*(J189/($K189/6))^'Growth Rules'!$B$7,0))</x:f>
        <x:v>61</x:v>
      </x:c>
      <x:c r="R189" s="66" t="n">
        <x:f>SUM(L189:Q189)/100</x:f>
        <x:v>2.45</x:v>
      </x:c>
      <x:c r="S189" s="62" t="str">
        <x:v>Cehong</x:v>
      </x:c>
      <x:c r="T189" s="62" t="str">
        <x:v>ITEM</x:v>
      </x:c>
      <x:c r="U189" s="62" t="str">
        <x:v>40</x:v>
      </x:c>
      <x:c r="V189" s="62" t="str">
        <x:v>Sun Relic</x:v>
      </x:c>
      <x:c r="W189" s="62" t="str">
        <x:v>40</x:v>
      </x:c>
      <x:c r="X189" s="62" t="str">
        <x:v>KEEP EXISTING / VALIDATED</x:v>
      </x:c>
      <x:c r="Y189" s="62" t="str">
        <x:v>Regional_Dex_Stats_and_Abilities_COMPLETE_v2.xlsx + Regional_Dex_Progression_Learnsets_v3.xlsx</x:v>
      </x:c>
    </x:row>
    <x:row r="190">
      <x:c r="A190" s="60" t="n">
        <x:v>187</x:v>
      </x:c>
      <x:c r="B190" s="62" t="str">
        <x:v>Cehong</x:v>
      </x:c>
      <x:c r="C190" s="62" t="str">
        <x:v>Fire</x:v>
      </x:c>
      <x:c r="D190" s="62" t="str">
        <x:v>Electric</x:v>
      </x:c>
      <x:c r="E190" s="60" t="n">
        <x:v>90</x:v>
      </x:c>
      <x:c r="F190" s="60" t="n">
        <x:v>105</x:v>
      </x:c>
      <x:c r="G190" s="60" t="n">
        <x:v>80</x:v>
      </x:c>
      <x:c r="H190" s="60" t="n">
        <x:v>105</x:v>
      </x:c>
      <x:c r="I190" s="60" t="n">
        <x:v>90</x:v>
      </x:c>
      <x:c r="J190" s="60" t="n">
        <x:v>130</x:v>
      </x:c>
      <x:c r="K190" s="60" t="n">
        <x:v>600</x:v>
      </x:c>
      <x:c r="L190" s="64" t="n">
        <x:f>MAX('Growth Rules'!$B$8,ROUND(('Growth Rules'!$B$4+'Growth Rules'!$B$5*($K190-'Growth Rules'!$B$6))*(E190/($K190/6))^'Growth Rules'!$B$7,0))</x:f>
        <x:v>39</x:v>
      </x:c>
      <x:c r="M190" s="64" t="n">
        <x:f>MAX('Growth Rules'!$B$8,ROUND(('Growth Rules'!$B$4+'Growth Rules'!$B$5*($K190-'Growth Rules'!$B$6))*(F190/($K190/6))^'Growth Rules'!$B$7,0))</x:f>
        <x:v>56</x:v>
      </x:c>
      <x:c r="N190" s="64" t="n">
        <x:f>MAX('Growth Rules'!$B$8,ROUND(('Growth Rules'!$B$4+'Growth Rules'!$B$5*($K190-'Growth Rules'!$B$6))*(G190/($K190/6))^'Growth Rules'!$B$7,0))</x:f>
        <x:v>30</x:v>
      </x:c>
      <x:c r="O190" s="64" t="n">
        <x:f>MAX('Growth Rules'!$B$8,ROUND(('Growth Rules'!$B$4+'Growth Rules'!$B$5*($K190-'Growth Rules'!$B$6))*(H190/($K190/6))^'Growth Rules'!$B$7,0))</x:f>
        <x:v>56</x:v>
      </x:c>
      <x:c r="P190" s="64" t="n">
        <x:f>MAX('Growth Rules'!$B$8,ROUND(('Growth Rules'!$B$4+'Growth Rules'!$B$5*($K190-'Growth Rules'!$B$6))*(I190/($K190/6))^'Growth Rules'!$B$7,0))</x:f>
        <x:v>39</x:v>
      </x:c>
      <x:c r="Q190" s="64" t="n">
        <x:f>MAX('Growth Rules'!$B$8,ROUND(('Growth Rules'!$B$4+'Growth Rules'!$B$5*($K190-'Growth Rules'!$B$6))*(J190/($K190/6))^'Growth Rules'!$B$7,0))</x:f>
        <x:v>90</x:v>
      </x:c>
      <x:c r="R190" s="66" t="n">
        <x:f>SUM(L190:Q190)/100</x:f>
        <x:v>3.1</x:v>
      </x:c>
      <x:c r="S190" s="62" t="str"/>
      <x:c r="T190" s="62" t="str"/>
      <x:c r="U190" s="62" t="str"/>
      <x:c r="V190" s="62" t="str"/>
      <x:c r="W190" s="62" t="str"/>
      <x:c r="X190" s="62" t="str"/>
      <x:c r="Y190" s="62" t="str">
        <x:v>Regional_Dex_Stats_and_Abilities_COMPLETE_v2.xlsx + Regional_Dex_Progression_Learnsets_v3.xlsx</x:v>
      </x:c>
    </x:row>
  </x:sheetData>
  <x:mergeCells>
    <x:mergeCell ref="A1:Y1"/>
  </x:mergeCells>
  <x:conditionalFormatting sqref="L4:Q190">
    <x:cfRule type="cellIs" dxfId="0" priority="1" operator="greaterThan">
      <x:formula>100</x:formula>
    </x:cfRule>
    <x:cfRule type="colorScale" priority="2">
      <x:colorScale>
        <x:cfvo type="min"/>
        <x:cfvo type="percentile" val="50"/>
        <x:cfvo type="max"/>
        <x:color rgb="FFEFF6FF"/>
        <x:color rgb="FFBFDBFE"/>
        <x:color rgb="FF86EFAC"/>
      </x:colorScale>
    </x:cfRule>
  </x:conditionalFormatting>
  <x:conditionalFormatting sqref="X4:X190">
    <x:cfRule type="expression" dxfId="1" priority="3">
      <x:formula>X4="KEEP EXISTING / VALIDATED"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3d6d96669744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18" hidden="0" customWidth="1"/>
    <x:col min="6" max="6" width="16" hidden="0" customWidth="1"/>
    <x:col min="7" max="7" width="18" hidden="0" customWidth="1"/>
    <x:col min="8" max="8" width="24" hidden="0" customWidth="1"/>
    <x:col min="9" max="9" width="10" hidden="0" customWidth="1"/>
    <x:col min="10" max="10" width="10" hidden="0" customWidth="1"/>
    <x:col min="11" max="11" width="10" hidden="0" customWidth="1"/>
    <x:col min="12" max="12" width="17" hidden="0" customWidth="1"/>
    <x:col min="13" max="13" width="17" hidden="0" customWidth="1"/>
    <x:col min="14" max="14" width="15" hidden="0" customWidth="1"/>
    <x:col min="15" max="15" width="15" hidden="0" customWidth="1"/>
    <x:col min="16" max="16" width="16" hidden="0" customWidth="1"/>
    <x:col min="17" max="17" width="15" hidden="0" customWidth="1"/>
    <x:col min="18" max="18" width="18" hidden="0" customWidth="1"/>
    <x:col min="19" max="19" width="18" hidden="0" customWidth="1"/>
    <x:col min="20" max="20" width="44" hidden="0" customWidth="1"/>
    <x:col min="21" max="21" width="38" hidden="0" customWidth="1"/>
    <x:col min="22" max="22" width="38" hidden="0" customWidth="1"/>
  </x:cols>
  <x:sheetData>
    <x:row r="1" ht="30" customHeight="1">
      <x:c r="A1" s="5" t="str">
        <x:v>EVOLUTION TIMING VALIDATION — ALL 98 CANONICAL PATHS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3" ht="42" customHeight="1">
      <x:c r="A3" s="14" t="str">
        <x:v>Path #</x:v>
      </x:c>
      <x:c r="B3" s="14" t="str">
        <x:v>Source Dex</x:v>
      </x:c>
      <x:c r="C3" s="14" t="str">
        <x:v>Source</x:v>
      </x:c>
      <x:c r="D3" s="14" t="str">
        <x:v>Target Dex</x:v>
      </x:c>
      <x:c r="E3" s="14" t="str">
        <x:v>Target</x:v>
      </x:c>
      <x:c r="F3" s="14" t="str">
        <x:v>Method</x:v>
      </x:c>
      <x:c r="G3" s="14" t="str">
        <x:v>Existing Level / Min</x:v>
      </x:c>
      <x:c r="H3" s="14" t="str">
        <x:v>Item / Story Flag</x:v>
      </x:c>
      <x:c r="I3" s="14" t="str">
        <x:v>Source BST</x:v>
      </x:c>
      <x:c r="J3" s="14" t="str">
        <x:v>Target BST</x:v>
      </x:c>
      <x:c r="K3" s="14" t="str">
        <x:v>BST Jump</x:v>
      </x:c>
      <x:c r="L3" s="14" t="str">
        <x:v>Source Growth Budget</x:v>
      </x:c>
      <x:c r="M3" s="14" t="str">
        <x:v>Target Growth Budget</x:v>
      </x:c>
      <x:c r="N3" s="14" t="str">
        <x:v>Δ Growth / Level</x:v>
      </x:c>
      <x:c r="O3" s="14" t="str">
        <x:v>+4 Level Delay Cost</x:v>
      </x:c>
      <x:c r="P3" s="14" t="str">
        <x:v>+10 Level Delay Cost</x:v>
      </x:c>
      <x:c r="Q3" s="14" t="str">
        <x:v>Delay Sensitivity</x:v>
      </x:c>
      <x:c r="R3" s="14" t="str">
        <x:v>Validated Level / Min</x:v>
      </x:c>
      <x:c r="S3" s="14" t="str">
        <x:v>Verdict</x:v>
      </x:c>
      <x:c r="T3" s="14" t="str">
        <x:v>Mechanical Finding</x:v>
      </x:c>
      <x:c r="U3" s="14" t="str">
        <x:v>Promotion Rule</x:v>
      </x:c>
      <x:c r="V3" s="14" t="str">
        <x:v>Source</x:v>
      </x:c>
    </x:row>
    <x:row r="4">
      <x:c r="A4" s="60" t="n">
        <x:v>1</x:v>
      </x:c>
      <x:c r="B4" s="60" t="n">
        <x:v>1</x:v>
      </x:c>
      <x:c r="C4" s="62" t="str">
        <x:v>Scarimp</x:v>
      </x:c>
      <x:c r="D4" s="62" t="n">
        <x:v>2</x:v>
      </x:c>
      <x:c r="E4" s="62" t="str">
        <x:v>Grimscar</x:v>
      </x:c>
      <x:c r="F4" s="62" t="str">
        <x:v>LEVEL</x:v>
      </x:c>
      <x:c r="G4" s="62" t="n">
        <x:v>16</x:v>
      </x:c>
      <x:c r="H4" s="62" t="str"/>
      <x:c r="I4" s="60" t="n">
        <x:f>VLOOKUP(B4,'Full Dex + Growth'!$A$4:$R$190,11,FALSE)</x:f>
        <x:v>310</x:v>
      </x:c>
      <x:c r="J4" s="60" t="n">
        <x:f>VLOOKUP(D4,'Full Dex + Growth'!$A$4:$R$190,11,FALSE)</x:f>
        <x:v>410</x:v>
      </x:c>
      <x:c r="K4" s="60" t="n">
        <x:f>J4-I4</x:f>
        <x:v>100</x:v>
      </x:c>
      <x:c r="L4" s="66" t="n">
        <x:f>VLOOKUP(B4,'Full Dex + Growth'!$A$4:$R$190,18,FALSE)</x:f>
        <x:v>2.1</x:v>
      </x:c>
      <x:c r="M4" s="66" t="n">
        <x:f>VLOOKUP(D4,'Full Dex + Growth'!$A$4:$R$190,18,FALSE)</x:f>
        <x:v>2.42</x:v>
      </x:c>
      <x:c r="N4" s="66" t="n">
        <x:f>M4-L4</x:f>
        <x:v>0.31999999999999984</x:v>
      </x:c>
      <x:c r="O4" s="66" t="n">
        <x:f>N4*4</x:f>
        <x:v>1.2799999999999994</x:v>
      </x:c>
      <x:c r="P4" s="66" t="n">
        <x:f>N4*10</x:f>
        <x:v>3.1999999999999984</x:v>
      </x:c>
      <x:c r="Q4" s="60" t="str">
        <x:f>IF(N4&gt;=0.9,"High",IF(N4&gt;=0.5,"Moderate","Low"))</x:f>
        <x:v>Low</x:v>
      </x:c>
      <x:c r="R4" s="60" t="n">
        <x:v>16</x:v>
      </x:c>
      <x:c r="S4" s="60" t="str">
        <x:v>KEEP EXISTING</x:v>
      </x:c>
      <x:c r="T4" s="62" t="str">
        <x:f>IF(N4&gt;0,"Target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" s="62" t="str">
        <x:v>Apply target base-stat minus source base-stat to each live stat once; no RNG at evolution.</x:v>
      </x:c>
      <x:c r="V4" s="62" t="str">
        <x:v>Regional_Dex_Progression_Learnsets_v3.xlsx</x:v>
      </x:c>
    </x:row>
    <x:row r="5">
      <x:c r="A5" s="60" t="n">
        <x:v>2</x:v>
      </x:c>
      <x:c r="B5" s="60" t="n">
        <x:v>2</x:v>
      </x:c>
      <x:c r="C5" s="62" t="str">
        <x:v>Grimscar</x:v>
      </x:c>
      <x:c r="D5" s="62" t="n">
        <x:v>3</x:v>
      </x:c>
      <x:c r="E5" s="62" t="str">
        <x:v>Noctafey</x:v>
      </x:c>
      <x:c r="F5" s="62" t="str">
        <x:v>LEVEL</x:v>
      </x:c>
      <x:c r="G5" s="62" t="n">
        <x:v>36</x:v>
      </x:c>
      <x:c r="H5" s="62" t="str"/>
      <x:c r="I5" s="60" t="n">
        <x:f>VLOOKUP(B5,'Full Dex + Growth'!$A$4:$R$190,11,FALSE)</x:f>
        <x:v>410</x:v>
      </x:c>
      <x:c r="J5" s="60" t="n">
        <x:f>VLOOKUP(D5,'Full Dex + Growth'!$A$4:$R$190,11,FALSE)</x:f>
        <x:v>530</x:v>
      </x:c>
      <x:c r="K5" s="60" t="n">
        <x:f>J5-I5</x:f>
        <x:v>120</x:v>
      </x:c>
      <x:c r="L5" s="66" t="n">
        <x:f>VLOOKUP(B5,'Full Dex + Growth'!$A$4:$R$190,18,FALSE)</x:f>
        <x:v>2.42</x:v>
      </x:c>
      <x:c r="M5" s="66" t="n">
        <x:f>VLOOKUP(D5,'Full Dex + Growth'!$A$4:$R$190,18,FALSE)</x:f>
        <x:v>2.91</x:v>
      </x:c>
      <x:c r="N5" s="66" t="n">
        <x:f>M5-L5</x:f>
        <x:v>0.4900000000000002</x:v>
      </x:c>
      <x:c r="O5" s="66" t="n">
        <x:f>N5*4</x:f>
        <x:v>1.9600000000000009</x:v>
      </x:c>
      <x:c r="P5" s="66" t="n">
        <x:f>N5*10</x:f>
        <x:v>4.900000000000002</x:v>
      </x:c>
      <x:c r="Q5" s="60" t="str">
        <x:f>IF(N5&gt;=0.9,"High",IF(N5&gt;=0.5,"Moderate","Low"))</x:f>
        <x:v>Low</x:v>
      </x:c>
      <x:c r="R5" s="60" t="n">
        <x:v>36</x:v>
      </x:c>
      <x:c r="S5" s="60" t="str">
        <x:v>KEEP EXISTING</x:v>
      </x:c>
      <x:c r="T5" s="62" t="str">
        <x:f>IF(N5&gt;0,"Target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" s="62" t="str">
        <x:v>Apply target base-stat minus source base-stat to each live stat once; no RNG at evolution.</x:v>
      </x:c>
      <x:c r="V5" s="62" t="str">
        <x:v>Regional_Dex_Progression_Learnsets_v3.xlsx</x:v>
      </x:c>
    </x:row>
    <x:row r="6">
      <x:c r="A6" s="60" t="n">
        <x:v>3</x:v>
      </x:c>
      <x:c r="B6" s="60" t="n">
        <x:v>4</x:v>
      </x:c>
      <x:c r="C6" s="62" t="str">
        <x:v>Calibrit</x:v>
      </x:c>
      <x:c r="D6" s="62" t="n">
        <x:v>5</x:v>
      </x:c>
      <x:c r="E6" s="62" t="str">
        <x:v>Severyn</x:v>
      </x:c>
      <x:c r="F6" s="62" t="str">
        <x:v>LEVEL</x:v>
      </x:c>
      <x:c r="G6" s="62" t="n">
        <x:v>16</x:v>
      </x:c>
      <x:c r="H6" s="62" t="str"/>
      <x:c r="I6" s="60" t="n">
        <x:f>VLOOKUP(B6,'Full Dex + Growth'!$A$4:$R$190,11,FALSE)</x:f>
        <x:v>310</x:v>
      </x:c>
      <x:c r="J6" s="60" t="n">
        <x:f>VLOOKUP(D6,'Full Dex + Growth'!$A$4:$R$190,11,FALSE)</x:f>
        <x:v>410</x:v>
      </x:c>
      <x:c r="K6" s="60" t="n">
        <x:f>J6-I6</x:f>
        <x:v>100</x:v>
      </x:c>
      <x:c r="L6" s="66" t="n">
        <x:f>VLOOKUP(B6,'Full Dex + Growth'!$A$4:$R$190,18,FALSE)</x:f>
        <x:v>2.01</x:v>
      </x:c>
      <x:c r="M6" s="66" t="n">
        <x:f>VLOOKUP(D6,'Full Dex + Growth'!$A$4:$R$190,18,FALSE)</x:f>
        <x:v>2.42</x:v>
      </x:c>
      <x:c r="N6" s="66" t="n">
        <x:f>M6-L6</x:f>
        <x:v>0.41000000000000014</x:v>
      </x:c>
      <x:c r="O6" s="66" t="n">
        <x:f>N6*4</x:f>
        <x:v>1.6400000000000006</x:v>
      </x:c>
      <x:c r="P6" s="66" t="n">
        <x:f>N6*10</x:f>
        <x:v>4.100000000000001</x:v>
      </x:c>
      <x:c r="Q6" s="60" t="str">
        <x:f>IF(N6&gt;=0.9,"High",IF(N6&gt;=0.5,"Moderate","Low"))</x:f>
        <x:v>Low</x:v>
      </x:c>
      <x:c r="R6" s="60" t="n">
        <x:v>16</x:v>
      </x:c>
      <x:c r="S6" s="60" t="str">
        <x:v>KEEP EXISTING</x:v>
      </x:c>
      <x:c r="T6" s="62" t="str">
        <x:f>IF(N6&gt;0,"Target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" s="62" t="str">
        <x:v>Apply target base-stat minus source base-stat to each live stat once; no RNG at evolution.</x:v>
      </x:c>
      <x:c r="V6" s="62" t="str">
        <x:v>Regional_Dex_Progression_Learnsets_v3.xlsx</x:v>
      </x:c>
    </x:row>
    <x:row r="7">
      <x:c r="A7" s="60" t="n">
        <x:v>4</x:v>
      </x:c>
      <x:c r="B7" s="60" t="n">
        <x:v>5</x:v>
      </x:c>
      <x:c r="C7" s="62" t="str">
        <x:v>Severyn</x:v>
      </x:c>
      <x:c r="D7" s="62" t="n">
        <x:v>6</x:v>
      </x:c>
      <x:c r="E7" s="62" t="str">
        <x:v>Axiomaro</x:v>
      </x:c>
      <x:c r="F7" s="62" t="str">
        <x:v>LEVEL</x:v>
      </x:c>
      <x:c r="G7" s="62" t="n">
        <x:v>36</x:v>
      </x:c>
      <x:c r="H7" s="62" t="str"/>
      <x:c r="I7" s="60" t="n">
        <x:f>VLOOKUP(B7,'Full Dex + Growth'!$A$4:$R$190,11,FALSE)</x:f>
        <x:v>410</x:v>
      </x:c>
      <x:c r="J7" s="60" t="n">
        <x:f>VLOOKUP(D7,'Full Dex + Growth'!$A$4:$R$190,11,FALSE)</x:f>
        <x:v>530</x:v>
      </x:c>
      <x:c r="K7" s="60" t="n">
        <x:f>J7-I7</x:f>
        <x:v>120</x:v>
      </x:c>
      <x:c r="L7" s="66" t="n">
        <x:f>VLOOKUP(B7,'Full Dex + Growth'!$A$4:$R$190,18,FALSE)</x:f>
        <x:v>2.42</x:v>
      </x:c>
      <x:c r="M7" s="66" t="n">
        <x:f>VLOOKUP(D7,'Full Dex + Growth'!$A$4:$R$190,18,FALSE)</x:f>
        <x:v>2.84</x:v>
      </x:c>
      <x:c r="N7" s="66" t="n">
        <x:f>M7-L7</x:f>
        <x:v>0.41999999999999993</x:v>
      </x:c>
      <x:c r="O7" s="66" t="n">
        <x:f>N7*4</x:f>
        <x:v>1.6799999999999997</x:v>
      </x:c>
      <x:c r="P7" s="66" t="n">
        <x:f>N7*10</x:f>
        <x:v>4.199999999999999</x:v>
      </x:c>
      <x:c r="Q7" s="60" t="str">
        <x:f>IF(N7&gt;=0.9,"High",IF(N7&gt;=0.5,"Moderate","Low"))</x:f>
        <x:v>Low</x:v>
      </x:c>
      <x:c r="R7" s="60" t="n">
        <x:v>36</x:v>
      </x:c>
      <x:c r="S7" s="60" t="str">
        <x:v>KEEP EXISTING</x:v>
      </x:c>
      <x:c r="T7" s="62" t="str">
        <x:f>IF(N7&gt;0,"Target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" s="62" t="str">
        <x:v>Apply target base-stat minus source base-stat to each live stat once; no RNG at evolution.</x:v>
      </x:c>
      <x:c r="V7" s="62" t="str">
        <x:v>Regional_Dex_Progression_Learnsets_v3.xlsx</x:v>
      </x:c>
    </x:row>
    <x:row r="8">
      <x:c r="A8" s="60" t="n">
        <x:v>5</x:v>
      </x:c>
      <x:c r="B8" s="60" t="n">
        <x:v>7</x:v>
      </x:c>
      <x:c r="C8" s="62" t="str">
        <x:v>Ruffurn</x:v>
      </x:c>
      <x:c r="D8" s="62" t="n">
        <x:v>8</x:v>
      </x:c>
      <x:c r="E8" s="62" t="str">
        <x:v>Revhound</x:v>
      </x:c>
      <x:c r="F8" s="62" t="str">
        <x:v>LEVEL</x:v>
      </x:c>
      <x:c r="G8" s="62" t="n">
        <x:v>16</x:v>
      </x:c>
      <x:c r="H8" s="62" t="str"/>
      <x:c r="I8" s="60" t="n">
        <x:f>VLOOKUP(B8,'Full Dex + Growth'!$A$4:$R$190,11,FALSE)</x:f>
        <x:v>310</x:v>
      </x:c>
      <x:c r="J8" s="60" t="n">
        <x:f>VLOOKUP(D8,'Full Dex + Growth'!$A$4:$R$190,11,FALSE)</x:f>
        <x:v>410</x:v>
      </x:c>
      <x:c r="K8" s="60" t="n">
        <x:f>J8-I8</x:f>
        <x:v>100</x:v>
      </x:c>
      <x:c r="L8" s="66" t="n">
        <x:f>VLOOKUP(B8,'Full Dex + Growth'!$A$4:$R$190,18,FALSE)</x:f>
        <x:v>2.11</x:v>
      </x:c>
      <x:c r="M8" s="66" t="n">
        <x:f>VLOOKUP(D8,'Full Dex + Growth'!$A$4:$R$190,18,FALSE)</x:f>
        <x:v>2.49</x:v>
      </x:c>
      <x:c r="N8" s="66" t="n">
        <x:f>M8-L8</x:f>
        <x:v>0.38000000000000034</x:v>
      </x:c>
      <x:c r="O8" s="66" t="n">
        <x:f>N8*4</x:f>
        <x:v>1.5200000000000014</x:v>
      </x:c>
      <x:c r="P8" s="66" t="n">
        <x:f>N8*10</x:f>
        <x:v>3.8000000000000034</x:v>
      </x:c>
      <x:c r="Q8" s="60" t="str">
        <x:f>IF(N8&gt;=0.9,"High",IF(N8&gt;=0.5,"Moderate","Low"))</x:f>
        <x:v>Low</x:v>
      </x:c>
      <x:c r="R8" s="60" t="n">
        <x:v>16</x:v>
      </x:c>
      <x:c r="S8" s="60" t="str">
        <x:v>KEEP EXISTING</x:v>
      </x:c>
      <x:c r="T8" s="62" t="str">
        <x:f>IF(N8&gt;0,"Target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" s="62" t="str">
        <x:v>Apply target base-stat minus source base-stat to each live stat once; no RNG at evolution.</x:v>
      </x:c>
      <x:c r="V8" s="62" t="str">
        <x:v>Regional_Dex_Progression_Learnsets_v3.xlsx</x:v>
      </x:c>
    </x:row>
    <x:row r="9">
      <x:c r="A9" s="60" t="n">
        <x:v>6</x:v>
      </x:c>
      <x:c r="B9" s="60" t="n">
        <x:v>8</x:v>
      </x:c>
      <x:c r="C9" s="62" t="str">
        <x:v>Revhound</x:v>
      </x:c>
      <x:c r="D9" s="62" t="n">
        <x:v>9</x:v>
      </x:c>
      <x:c r="E9" s="62" t="str">
        <x:v>Revault</x:v>
      </x:c>
      <x:c r="F9" s="62" t="str">
        <x:v>LEVEL</x:v>
      </x:c>
      <x:c r="G9" s="62" t="n">
        <x:v>36</x:v>
      </x:c>
      <x:c r="H9" s="62" t="str"/>
      <x:c r="I9" s="60" t="n">
        <x:f>VLOOKUP(B9,'Full Dex + Growth'!$A$4:$R$190,11,FALSE)</x:f>
        <x:v>410</x:v>
      </x:c>
      <x:c r="J9" s="60" t="n">
        <x:f>VLOOKUP(D9,'Full Dex + Growth'!$A$4:$R$190,11,FALSE)</x:f>
        <x:v>530</x:v>
      </x:c>
      <x:c r="K9" s="60" t="n">
        <x:f>J9-I9</x:f>
        <x:v>120</x:v>
      </x:c>
      <x:c r="L9" s="66" t="n">
        <x:f>VLOOKUP(B9,'Full Dex + Growth'!$A$4:$R$190,18,FALSE)</x:f>
        <x:v>2.49</x:v>
      </x:c>
      <x:c r="M9" s="66" t="n">
        <x:f>VLOOKUP(D9,'Full Dex + Growth'!$A$4:$R$190,18,FALSE)</x:f>
        <x:v>3.06</x:v>
      </x:c>
      <x:c r="N9" s="66" t="n">
        <x:f>M9-L9</x:f>
        <x:v>0.5699999999999998</x:v>
      </x:c>
      <x:c r="O9" s="66" t="n">
        <x:f>N9*4</x:f>
        <x:v>2.2799999999999994</x:v>
      </x:c>
      <x:c r="P9" s="66" t="n">
        <x:f>N9*10</x:f>
        <x:v>5.699999999999998</x:v>
      </x:c>
      <x:c r="Q9" s="60" t="str">
        <x:f>IF(N9&gt;=0.9,"High",IF(N9&gt;=0.5,"Moderate","Low"))</x:f>
        <x:v>Moderate</x:v>
      </x:c>
      <x:c r="R9" s="60" t="n">
        <x:v>36</x:v>
      </x:c>
      <x:c r="S9" s="60" t="str">
        <x:v>KEEP EXISTING</x:v>
      </x:c>
      <x:c r="T9" s="62" t="str">
        <x:f>IF(N9&gt;0,"Target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" s="62" t="str">
        <x:v>Apply target base-stat minus source base-stat to each live stat once; no RNG at evolution.</x:v>
      </x:c>
      <x:c r="V9" s="62" t="str">
        <x:v>Regional_Dex_Progression_Learnsets_v3.xlsx</x:v>
      </x:c>
    </x:row>
    <x:row r="10">
      <x:c r="A10" s="60" t="n">
        <x:v>7</x:v>
      </x:c>
      <x:c r="B10" s="60" t="n">
        <x:v>10</x:v>
      </x:c>
      <x:c r="C10" s="62" t="str">
        <x:v>Pennkit</x:v>
      </x:c>
      <x:c r="D10" s="62" t="n">
        <x:v>11</x:v>
      </x:c>
      <x:c r="E10" s="62" t="str">
        <x:v>Hareald</x:v>
      </x:c>
      <x:c r="F10" s="62" t="str">
        <x:v>LEVEL</x:v>
      </x:c>
      <x:c r="G10" s="62" t="n">
        <x:v>26</x:v>
      </x:c>
      <x:c r="H10" s="62" t="str"/>
      <x:c r="I10" s="60" t="n">
        <x:f>VLOOKUP(B10,'Full Dex + Growth'!$A$4:$R$190,11,FALSE)</x:f>
        <x:v>290</x:v>
      </x:c>
      <x:c r="J10" s="60" t="n">
        <x:f>VLOOKUP(D10,'Full Dex + Growth'!$A$4:$R$190,11,FALSE)</x:f>
        <x:v>445</x:v>
      </x:c>
      <x:c r="K10" s="60" t="n">
        <x:f>J10-I10</x:f>
        <x:v>155</x:v>
      </x:c>
      <x:c r="L10" s="66" t="n">
        <x:f>VLOOKUP(B10,'Full Dex + Growth'!$A$4:$R$190,18,FALSE)</x:f>
        <x:v>2.05</x:v>
      </x:c>
      <x:c r="M10" s="66" t="n">
        <x:f>VLOOKUP(D10,'Full Dex + Growth'!$A$4:$R$190,18,FALSE)</x:f>
        <x:v>2.52</x:v>
      </x:c>
      <x:c r="N10" s="66" t="n">
        <x:f>M10-L10</x:f>
        <x:v>0.4700000000000002</x:v>
      </x:c>
      <x:c r="O10" s="66" t="n">
        <x:f>N10*4</x:f>
        <x:v>1.8800000000000008</x:v>
      </x:c>
      <x:c r="P10" s="66" t="n">
        <x:f>N10*10</x:f>
        <x:v>4.700000000000002</x:v>
      </x:c>
      <x:c r="Q10" s="60" t="str">
        <x:f>IF(N10&gt;=0.9,"High",IF(N10&gt;=0.5,"Moderate","Low"))</x:f>
        <x:v>Low</x:v>
      </x:c>
      <x:c r="R10" s="60" t="n">
        <x:v>26</x:v>
      </x:c>
      <x:c r="S10" s="60" t="str">
        <x:v>KEEP EXISTING</x:v>
      </x:c>
      <x:c r="T10" s="62" t="str">
        <x:f>IF(N10&gt;0,"Target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0" s="62" t="str">
        <x:v>Apply target base-stat minus source base-stat to each live stat once; no RNG at evolution.</x:v>
      </x:c>
      <x:c r="V10" s="62" t="str">
        <x:v>Regional_Dex_Progression_Learnsets_v3.xlsx</x:v>
      </x:c>
    </x:row>
    <x:row r="11">
      <x:c r="A11" s="60" t="n">
        <x:v>8</x:v>
      </x:c>
      <x:c r="B11" s="60" t="n">
        <x:v>12</x:v>
      </x:c>
      <x:c r="C11" s="62" t="str">
        <x:v>Tatterook</x:v>
      </x:c>
      <x:c r="D11" s="62" t="n">
        <x:v>13</x:v>
      </x:c>
      <x:c r="E11" s="62" t="str">
        <x:v>Corvassal</x:v>
      </x:c>
      <x:c r="F11" s="62" t="str">
        <x:v>LEVEL</x:v>
      </x:c>
      <x:c r="G11" s="62" t="n">
        <x:v>26</x:v>
      </x:c>
      <x:c r="H11" s="62" t="str"/>
      <x:c r="I11" s="60" t="n">
        <x:f>VLOOKUP(B11,'Full Dex + Growth'!$A$4:$R$190,11,FALSE)</x:f>
        <x:v>290</x:v>
      </x:c>
      <x:c r="J11" s="60" t="n">
        <x:f>VLOOKUP(D11,'Full Dex + Growth'!$A$4:$R$190,11,FALSE)</x:f>
        <x:v>455</x:v>
      </x:c>
      <x:c r="K11" s="60" t="n">
        <x:f>J11-I11</x:f>
        <x:v>165</x:v>
      </x:c>
      <x:c r="L11" s="66" t="n">
        <x:f>VLOOKUP(B11,'Full Dex + Growth'!$A$4:$R$190,18,FALSE)</x:f>
        <x:v>2.03</x:v>
      </x:c>
      <x:c r="M11" s="66" t="n">
        <x:f>VLOOKUP(D11,'Full Dex + Growth'!$A$4:$R$190,18,FALSE)</x:f>
        <x:v>2.6</x:v>
      </x:c>
      <x:c r="N11" s="66" t="n">
        <x:f>M11-L11</x:f>
        <x:v>0.5700000000000003</x:v>
      </x:c>
      <x:c r="O11" s="66" t="n">
        <x:f>N11*4</x:f>
        <x:v>2.280000000000001</x:v>
      </x:c>
      <x:c r="P11" s="66" t="n">
        <x:f>N11*10</x:f>
        <x:v>5.700000000000003</x:v>
      </x:c>
      <x:c r="Q11" s="60" t="str">
        <x:f>IF(N11&gt;=0.9,"High",IF(N11&gt;=0.5,"Moderate","Low"))</x:f>
        <x:v>Moderate</x:v>
      </x:c>
      <x:c r="R11" s="60" t="n">
        <x:v>26</x:v>
      </x:c>
      <x:c r="S11" s="60" t="str">
        <x:v>KEEP EXISTING</x:v>
      </x:c>
      <x:c r="T11" s="62" t="str">
        <x:f>IF(N11&gt;0,"Target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1" s="62" t="str">
        <x:v>Apply target base-stat minus source base-stat to each live stat once; no RNG at evolution.</x:v>
      </x:c>
      <x:c r="V11" s="62" t="str">
        <x:v>Regional_Dex_Progression_Learnsets_v3.xlsx</x:v>
      </x:c>
    </x:row>
    <x:row r="12">
      <x:c r="A12" s="60" t="n">
        <x:v>9</x:v>
      </x:c>
      <x:c r="B12" s="60" t="n">
        <x:v>14</x:v>
      </x:c>
      <x:c r="C12" s="62" t="str">
        <x:v>Mottlet</x:v>
      </x:c>
      <x:c r="D12" s="62" t="n">
        <x:v>15</x:v>
      </x:c>
      <x:c r="E12" s="62" t="str">
        <x:v>Bastimole</x:v>
      </x:c>
      <x:c r="F12" s="62" t="str">
        <x:v>LEVEL</x:v>
      </x:c>
      <x:c r="G12" s="62" t="n">
        <x:v>26</x:v>
      </x:c>
      <x:c r="H12" s="62" t="str"/>
      <x:c r="I12" s="60" t="n">
        <x:f>VLOOKUP(B12,'Full Dex + Growth'!$A$4:$R$190,11,FALSE)</x:f>
        <x:v>300</x:v>
      </x:c>
      <x:c r="J12" s="60" t="n">
        <x:f>VLOOKUP(D12,'Full Dex + Growth'!$A$4:$R$190,11,FALSE)</x:f>
        <x:v>470</x:v>
      </x:c>
      <x:c r="K12" s="60" t="n">
        <x:f>J12-I12</x:f>
        <x:v>170</x:v>
      </x:c>
      <x:c r="L12" s="66" t="n">
        <x:f>VLOOKUP(B12,'Full Dex + Growth'!$A$4:$R$190,18,FALSE)</x:f>
        <x:v>2.08</x:v>
      </x:c>
      <x:c r="M12" s="66" t="n">
        <x:f>VLOOKUP(D12,'Full Dex + Growth'!$A$4:$R$190,18,FALSE)</x:f>
        <x:v>2.97</x:v>
      </x:c>
      <x:c r="N12" s="66" t="n">
        <x:f>M12-L12</x:f>
        <x:v>0.8900000000000001</x:v>
      </x:c>
      <x:c r="O12" s="66" t="n">
        <x:f>N12*4</x:f>
        <x:v>3.5600000000000005</x:v>
      </x:c>
      <x:c r="P12" s="66" t="n">
        <x:f>N12*10</x:f>
        <x:v>8.900000000000002</x:v>
      </x:c>
      <x:c r="Q12" s="60" t="str">
        <x:f>IF(N12&gt;=0.9,"High",IF(N12&gt;=0.5,"Moderate","Low"))</x:f>
        <x:v>Moderate</x:v>
      </x:c>
      <x:c r="R12" s="60" t="n">
        <x:v>26</x:v>
      </x:c>
      <x:c r="S12" s="60" t="str">
        <x:v>KEEP EXISTING</x:v>
      </x:c>
      <x:c r="T12" s="62" t="str">
        <x:f>IF(N12&gt;0,"Target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2" s="62" t="str">
        <x:v>Apply target base-stat minus source base-stat to each live stat once; no RNG at evolution.</x:v>
      </x:c>
      <x:c r="V12" s="62" t="str">
        <x:v>Regional_Dex_Progression_Learnsets_v3.xlsx</x:v>
      </x:c>
    </x:row>
    <x:row r="13">
      <x:c r="A13" s="60" t="n">
        <x:v>10</x:v>
      </x:c>
      <x:c r="B13" s="60" t="n">
        <x:v>16</x:v>
      </x:c>
      <x:c r="C13" s="62" t="str">
        <x:v>Tokenail</x:v>
      </x:c>
      <x:c r="D13" s="62" t="n">
        <x:v>17</x:v>
      </x:c>
      <x:c r="E13" s="62" t="str">
        <x:v>Ampullusk</x:v>
      </x:c>
      <x:c r="F13" s="62" t="str">
        <x:v>LEVEL</x:v>
      </x:c>
      <x:c r="G13" s="62" t="n">
        <x:v>26</x:v>
      </x:c>
      <x:c r="H13" s="62" t="str"/>
      <x:c r="I13" s="60" t="n">
        <x:f>VLOOKUP(B13,'Full Dex + Growth'!$A$4:$R$190,11,FALSE)</x:f>
        <x:v>285</x:v>
      </x:c>
      <x:c r="J13" s="60" t="n">
        <x:f>VLOOKUP(D13,'Full Dex + Growth'!$A$4:$R$190,11,FALSE)</x:f>
        <x:v>465</x:v>
      </x:c>
      <x:c r="K13" s="60" t="n">
        <x:f>J13-I13</x:f>
        <x:v>180</x:v>
      </x:c>
      <x:c r="L13" s="66" t="n">
        <x:f>VLOOKUP(B13,'Full Dex + Growth'!$A$4:$R$190,18,FALSE)</x:f>
        <x:v>2.2</x:v>
      </x:c>
      <x:c r="M13" s="66" t="n">
        <x:f>VLOOKUP(D13,'Full Dex + Growth'!$A$4:$R$190,18,FALSE)</x:f>
        <x:v>3.15</x:v>
      </x:c>
      <x:c r="N13" s="66" t="n">
        <x:f>M13-L13</x:f>
        <x:v>0.9499999999999997</x:v>
      </x:c>
      <x:c r="O13" s="66" t="n">
        <x:f>N13*4</x:f>
        <x:v>3.799999999999999</x:v>
      </x:c>
      <x:c r="P13" s="66" t="n">
        <x:f>N13*10</x:f>
        <x:v>9.499999999999996</x:v>
      </x:c>
      <x:c r="Q13" s="60" t="str">
        <x:f>IF(N13&gt;=0.9,"High",IF(N13&gt;=0.5,"Moderate","Low"))</x:f>
        <x:v>High</x:v>
      </x:c>
      <x:c r="R13" s="60" t="n">
        <x:v>26</x:v>
      </x:c>
      <x:c r="S13" s="60" t="str">
        <x:v>KEEP EXISTING</x:v>
      </x:c>
      <x:c r="T13" s="62" t="str">
        <x:f>IF(N13&gt;0,"Target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3" s="62" t="str">
        <x:v>Apply target base-stat minus source base-stat to each live stat once; no RNG at evolution.</x:v>
      </x:c>
      <x:c r="V13" s="62" t="str">
        <x:v>Regional_Dex_Progression_Learnsets_v3.xlsx</x:v>
      </x:c>
    </x:row>
    <x:row r="14">
      <x:c r="A14" s="60" t="n">
        <x:v>11</x:v>
      </x:c>
      <x:c r="B14" s="60" t="n">
        <x:v>18</x:v>
      </x:c>
      <x:c r="C14" s="62" t="str">
        <x:v>Rouncolt</x:v>
      </x:c>
      <x:c r="D14" s="62" t="n">
        <x:v>19</x:v>
      </x:c>
      <x:c r="E14" s="62" t="str">
        <x:v>Coursire</x:v>
      </x:c>
      <x:c r="F14" s="62" t="str">
        <x:v>LEVEL</x:v>
      </x:c>
      <x:c r="G14" s="62" t="n">
        <x:v>20</x:v>
      </x:c>
      <x:c r="H14" s="62" t="str"/>
      <x:c r="I14" s="60" t="n">
        <x:f>VLOOKUP(B14,'Full Dex + Growth'!$A$4:$R$190,11,FALSE)</x:f>
        <x:v>300</x:v>
      </x:c>
      <x:c r="J14" s="60" t="n">
        <x:f>VLOOKUP(D14,'Full Dex + Growth'!$A$4:$R$190,11,FALSE)</x:f>
        <x:v>405</x:v>
      </x:c>
      <x:c r="K14" s="60" t="n">
        <x:f>J14-I14</x:f>
        <x:v>105</x:v>
      </x:c>
      <x:c r="L14" s="66" t="n">
        <x:f>VLOOKUP(B14,'Full Dex + Growth'!$A$4:$R$190,18,FALSE)</x:f>
        <x:v>1.99</x:v>
      </x:c>
      <x:c r="M14" s="66" t="n">
        <x:f>VLOOKUP(D14,'Full Dex + Growth'!$A$4:$R$190,18,FALSE)</x:f>
        <x:v>2.45</x:v>
      </x:c>
      <x:c r="N14" s="66" t="n">
        <x:f>M14-L14</x:f>
        <x:v>0.4600000000000002</x:v>
      </x:c>
      <x:c r="O14" s="66" t="n">
        <x:f>N14*4</x:f>
        <x:v>1.8400000000000007</x:v>
      </x:c>
      <x:c r="P14" s="66" t="n">
        <x:f>N14*10</x:f>
        <x:v>4.600000000000001</x:v>
      </x:c>
      <x:c r="Q14" s="60" t="str">
        <x:f>IF(N14&gt;=0.9,"High",IF(N14&gt;=0.5,"Moderate","Low"))</x:f>
        <x:v>Low</x:v>
      </x:c>
      <x:c r="R14" s="60" t="n">
        <x:v>20</x:v>
      </x:c>
      <x:c r="S14" s="60" t="str">
        <x:v>KEEP EXISTING</x:v>
      </x:c>
      <x:c r="T14" s="62" t="str">
        <x:f>IF(N14&gt;0,"Target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4" s="62" t="str">
        <x:v>Apply target base-stat minus source base-stat to each live stat once; no RNG at evolution.</x:v>
      </x:c>
      <x:c r="V14" s="62" t="str">
        <x:v>Regional_Dex_Progression_Learnsets_v3.xlsx</x:v>
      </x:c>
    </x:row>
    <x:row r="15">
      <x:c r="A15" s="60" t="n">
        <x:v>12</x:v>
      </x:c>
      <x:c r="B15" s="60" t="n">
        <x:v>19</x:v>
      </x:c>
      <x:c r="C15" s="62" t="str">
        <x:v>Coursire</x:v>
      </x:c>
      <x:c r="D15" s="62" t="n">
        <x:v>20</x:v>
      </x:c>
      <x:c r="E15" s="62" t="str">
        <x:v>Destridon</x:v>
      </x:c>
      <x:c r="F15" s="62" t="str">
        <x:v>LEVEL</x:v>
      </x:c>
      <x:c r="G15" s="62" t="n">
        <x:v>38</x:v>
      </x:c>
      <x:c r="H15" s="62" t="str"/>
      <x:c r="I15" s="60" t="n">
        <x:f>VLOOKUP(B15,'Full Dex + Growth'!$A$4:$R$190,11,FALSE)</x:f>
        <x:v>405</x:v>
      </x:c>
      <x:c r="J15" s="60" t="n">
        <x:f>VLOOKUP(D15,'Full Dex + Growth'!$A$4:$R$190,11,FALSE)</x:f>
        <x:v>515</x:v>
      </x:c>
      <x:c r="K15" s="60" t="n">
        <x:f>J15-I15</x:f>
        <x:v>110</x:v>
      </x:c>
      <x:c r="L15" s="66" t="n">
        <x:f>VLOOKUP(B15,'Full Dex + Growth'!$A$4:$R$190,18,FALSE)</x:f>
        <x:v>2.45</x:v>
      </x:c>
      <x:c r="M15" s="66" t="n">
        <x:f>VLOOKUP(D15,'Full Dex + Growth'!$A$4:$R$190,18,FALSE)</x:f>
        <x:v>2.85</x:v>
      </x:c>
      <x:c r="N15" s="66" t="n">
        <x:f>M15-L15</x:f>
        <x:v>0.3999999999999999</x:v>
      </x:c>
      <x:c r="O15" s="66" t="n">
        <x:f>N15*4</x:f>
        <x:v>1.5999999999999996</x:v>
      </x:c>
      <x:c r="P15" s="66" t="n">
        <x:f>N15*10</x:f>
        <x:v>3.999999999999999</x:v>
      </x:c>
      <x:c r="Q15" s="60" t="str">
        <x:f>IF(N15&gt;=0.9,"High",IF(N15&gt;=0.5,"Moderate","Low"))</x:f>
        <x:v>Low</x:v>
      </x:c>
      <x:c r="R15" s="60" t="n">
        <x:v>38</x:v>
      </x:c>
      <x:c r="S15" s="60" t="str">
        <x:v>KEEP EXISTING</x:v>
      </x:c>
      <x:c r="T15" s="62" t="str">
        <x:f>IF(N15&gt;0,"Target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5" s="62" t="str">
        <x:v>Apply target base-stat minus source base-stat to each live stat once; no RNG at evolution.</x:v>
      </x:c>
      <x:c r="V15" s="62" t="str">
        <x:v>Regional_Dex_Progression_Learnsets_v3.xlsx</x:v>
      </x:c>
    </x:row>
    <x:row r="16">
      <x:c r="A16" s="60" t="n">
        <x:v>13</x:v>
      </x:c>
      <x:c r="B16" s="60" t="n">
        <x:v>21</x:v>
      </x:c>
      <x:c r="C16" s="62" t="str">
        <x:v>Keelcrab</x:v>
      </x:c>
      <x:c r="D16" s="62" t="n">
        <x:v>22</x:v>
      </x:c>
      <x:c r="E16" s="62" t="str">
        <x:v>Galleonid</x:v>
      </x:c>
      <x:c r="F16" s="62" t="str">
        <x:v>LEVEL</x:v>
      </x:c>
      <x:c r="G16" s="62" t="n">
        <x:v>26</x:v>
      </x:c>
      <x:c r="H16" s="62" t="str"/>
      <x:c r="I16" s="60" t="n">
        <x:f>VLOOKUP(B16,'Full Dex + Growth'!$A$4:$R$190,11,FALSE)</x:f>
        <x:v>300</x:v>
      </x:c>
      <x:c r="J16" s="60" t="n">
        <x:f>VLOOKUP(D16,'Full Dex + Growth'!$A$4:$R$190,11,FALSE)</x:f>
        <x:v>500</x:v>
      </x:c>
      <x:c r="K16" s="60" t="n">
        <x:f>J16-I16</x:f>
        <x:v>200</x:v>
      </x:c>
      <x:c r="L16" s="66" t="n">
        <x:f>VLOOKUP(B16,'Full Dex + Growth'!$A$4:$R$190,18,FALSE)</x:f>
        <x:v>2.08</x:v>
      </x:c>
      <x:c r="M16" s="66" t="n">
        <x:f>VLOOKUP(D16,'Full Dex + Growth'!$A$4:$R$190,18,FALSE)</x:f>
        <x:v>2.84</x:v>
      </x:c>
      <x:c r="N16" s="66" t="n">
        <x:f>M16-L16</x:f>
        <x:v>0.7599999999999998</x:v>
      </x:c>
      <x:c r="O16" s="66" t="n">
        <x:f>N16*4</x:f>
        <x:v>3.039999999999999</x:v>
      </x:c>
      <x:c r="P16" s="66" t="n">
        <x:f>N16*10</x:f>
        <x:v>7.599999999999998</x:v>
      </x:c>
      <x:c r="Q16" s="60" t="str">
        <x:f>IF(N16&gt;=0.9,"High",IF(N16&gt;=0.5,"Moderate","Low"))</x:f>
        <x:v>Moderate</x:v>
      </x:c>
      <x:c r="R16" s="60" t="n">
        <x:v>26</x:v>
      </x:c>
      <x:c r="S16" s="60" t="str">
        <x:v>KEEP EXISTING</x:v>
      </x:c>
      <x:c r="T16" s="62" t="str">
        <x:f>IF(N16&gt;0,"Target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6" s="62" t="str">
        <x:v>Apply target base-stat minus source base-stat to each live stat once; no RNG at evolution.</x:v>
      </x:c>
      <x:c r="V16" s="62" t="str">
        <x:v>Regional_Dex_Progression_Learnsets_v3.xlsx</x:v>
      </x:c>
    </x:row>
    <x:row r="17">
      <x:c r="A17" s="60" t="n">
        <x:v>14</x:v>
      </x:c>
      <x:c r="B17" s="60" t="n">
        <x:v>23</x:v>
      </x:c>
      <x:c r="C17" s="62" t="str">
        <x:v>Wickmidge</x:v>
      </x:c>
      <x:c r="D17" s="62" t="n">
        <x:v>24</x:v>
      </x:c>
      <x:c r="E17" s="62" t="str">
        <x:v>Vesperyre</x:v>
      </x:c>
      <x:c r="F17" s="62" t="str">
        <x:v>LEVEL</x:v>
      </x:c>
      <x:c r="G17" s="62" t="n">
        <x:v>26</x:v>
      </x:c>
      <x:c r="H17" s="62" t="str"/>
      <x:c r="I17" s="60" t="n">
        <x:f>VLOOKUP(B17,'Full Dex + Growth'!$A$4:$R$190,11,FALSE)</x:f>
        <x:v>300</x:v>
      </x:c>
      <x:c r="J17" s="60" t="n">
        <x:f>VLOOKUP(D17,'Full Dex + Growth'!$A$4:$R$190,11,FALSE)</x:f>
        <x:v>490</x:v>
      </x:c>
      <x:c r="K17" s="60" t="n">
        <x:f>J17-I17</x:f>
        <x:v>190</x:v>
      </x:c>
      <x:c r="L17" s="66" t="n">
        <x:f>VLOOKUP(B17,'Full Dex + Growth'!$A$4:$R$190,18,FALSE)</x:f>
        <x:v>2.18</x:v>
      </x:c>
      <x:c r="M17" s="66" t="n">
        <x:f>VLOOKUP(D17,'Full Dex + Growth'!$A$4:$R$190,18,FALSE)</x:f>
        <x:v>2.84</x:v>
      </x:c>
      <x:c r="N17" s="66" t="n">
        <x:f>M17-L17</x:f>
        <x:v>0.6599999999999997</x:v>
      </x:c>
      <x:c r="O17" s="66" t="n">
        <x:f>N17*4</x:f>
        <x:v>2.639999999999999</x:v>
      </x:c>
      <x:c r="P17" s="66" t="n">
        <x:f>N17*10</x:f>
        <x:v>6.599999999999997</x:v>
      </x:c>
      <x:c r="Q17" s="60" t="str">
        <x:f>IF(N17&gt;=0.9,"High",IF(N17&gt;=0.5,"Moderate","Low"))</x:f>
        <x:v>Moderate</x:v>
      </x:c>
      <x:c r="R17" s="60" t="n">
        <x:v>26</x:v>
      </x:c>
      <x:c r="S17" s="60" t="str">
        <x:v>KEEP EXISTING</x:v>
      </x:c>
      <x:c r="T17" s="62" t="str">
        <x:f>IF(N17&gt;0,"Target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7" s="62" t="str">
        <x:v>Apply target base-stat minus source base-stat to each live stat once; no RNG at evolution.</x:v>
      </x:c>
      <x:c r="V17" s="62" t="str">
        <x:v>Regional_Dex_Progression_Learnsets_v3.xlsx</x:v>
      </x:c>
    </x:row>
    <x:row r="18">
      <x:c r="A18" s="60" t="n">
        <x:v>15</x:v>
      </x:c>
      <x:c r="B18" s="60" t="n">
        <x:v>25</x:v>
      </x:c>
      <x:c r="C18" s="62" t="str">
        <x:v>Caprune</x:v>
      </x:c>
      <x:c r="D18" s="62" t="n">
        <x:v>26</x:v>
      </x:c>
      <x:c r="E18" s="62" t="str">
        <x:v>Ibracle</x:v>
      </x:c>
      <x:c r="F18" s="62" t="str">
        <x:v>LEVEL</x:v>
      </x:c>
      <x:c r="G18" s="62" t="n">
        <x:v>26</x:v>
      </x:c>
      <x:c r="H18" s="62" t="str"/>
      <x:c r="I18" s="60" t="n">
        <x:f>VLOOKUP(B18,'Full Dex + Growth'!$A$4:$R$190,11,FALSE)</x:f>
        <x:v>305</x:v>
      </x:c>
      <x:c r="J18" s="60" t="n">
        <x:f>VLOOKUP(D18,'Full Dex + Growth'!$A$4:$R$190,11,FALSE)</x:f>
        <x:v>510</x:v>
      </x:c>
      <x:c r="K18" s="60" t="n">
        <x:f>J18-I18</x:f>
        <x:v>205</x:v>
      </x:c>
      <x:c r="L18" s="66" t="n">
        <x:f>VLOOKUP(B18,'Full Dex + Growth'!$A$4:$R$190,18,FALSE)</x:f>
        <x:v>2.06</x:v>
      </x:c>
      <x:c r="M18" s="66" t="n">
        <x:f>VLOOKUP(D18,'Full Dex + Growth'!$A$4:$R$190,18,FALSE)</x:f>
        <x:v>2.72</x:v>
      </x:c>
      <x:c r="N18" s="66" t="n">
        <x:f>M18-L18</x:f>
        <x:v>0.6600000000000001</x:v>
      </x:c>
      <x:c r="O18" s="66" t="n">
        <x:f>N18*4</x:f>
        <x:v>2.6400000000000006</x:v>
      </x:c>
      <x:c r="P18" s="66" t="n">
        <x:f>N18*10</x:f>
        <x:v>6.600000000000001</x:v>
      </x:c>
      <x:c r="Q18" s="60" t="str">
        <x:f>IF(N18&gt;=0.9,"High",IF(N18&gt;=0.5,"Moderate","Low"))</x:f>
        <x:v>Moderate</x:v>
      </x:c>
      <x:c r="R18" s="60" t="n">
        <x:v>26</x:v>
      </x:c>
      <x:c r="S18" s="60" t="str">
        <x:v>KEEP EXISTING</x:v>
      </x:c>
      <x:c r="T18" s="62" t="str">
        <x:f>IF(N18&gt;0,"Target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8" s="62" t="str">
        <x:v>Apply target base-stat minus source base-stat to each live stat once; no RNG at evolution.</x:v>
      </x:c>
      <x:c r="V18" s="62" t="str">
        <x:v>Regional_Dex_Progression_Learnsets_v3.xlsx</x:v>
      </x:c>
    </x:row>
    <x:row r="19">
      <x:c r="A19" s="60" t="n">
        <x:v>16</x:v>
      </x:c>
      <x:c r="B19" s="60" t="n">
        <x:v>27</x:v>
      </x:c>
      <x:c r="C19" s="62" t="str">
        <x:v>Snickal</x:v>
      </x:c>
      <x:c r="D19" s="62" t="n">
        <x:v>28</x:v>
      </x:c>
      <x:c r="E19" s="62" t="str">
        <x:v>Cackena</x:v>
      </x:c>
      <x:c r="F19" s="62" t="str">
        <x:v>LEVEL</x:v>
      </x:c>
      <x:c r="G19" s="62" t="n">
        <x:v>20</x:v>
      </x:c>
      <x:c r="H19" s="62" t="str"/>
      <x:c r="I19" s="60" t="n">
        <x:f>VLOOKUP(B19,'Full Dex + Growth'!$A$4:$R$190,11,FALSE)</x:f>
        <x:v>295</x:v>
      </x:c>
      <x:c r="J19" s="60" t="n">
        <x:f>VLOOKUP(D19,'Full Dex + Growth'!$A$4:$R$190,11,FALSE)</x:f>
        <x:v>395</x:v>
      </x:c>
      <x:c r="K19" s="60" t="n">
        <x:f>J19-I19</x:f>
        <x:v>100</x:v>
      </x:c>
      <x:c r="L19" s="66" t="n">
        <x:f>VLOOKUP(B19,'Full Dex + Growth'!$A$4:$R$190,18,FALSE)</x:f>
        <x:v>2.08</x:v>
      </x:c>
      <x:c r="M19" s="66" t="n">
        <x:f>VLOOKUP(D19,'Full Dex + Growth'!$A$4:$R$190,18,FALSE)</x:f>
        <x:v>2.45</x:v>
      </x:c>
      <x:c r="N19" s="66" t="n">
        <x:f>M19-L19</x:f>
        <x:v>0.3700000000000001</x:v>
      </x:c>
      <x:c r="O19" s="66" t="n">
        <x:f>N19*4</x:f>
        <x:v>1.4800000000000004</x:v>
      </x:c>
      <x:c r="P19" s="66" t="n">
        <x:f>N19*10</x:f>
        <x:v>3.700000000000001</x:v>
      </x:c>
      <x:c r="Q19" s="60" t="str">
        <x:f>IF(N19&gt;=0.9,"High",IF(N19&gt;=0.5,"Moderate","Low"))</x:f>
        <x:v>Low</x:v>
      </x:c>
      <x:c r="R19" s="60" t="n">
        <x:v>20</x:v>
      </x:c>
      <x:c r="S19" s="60" t="str">
        <x:v>KEEP EXISTING</x:v>
      </x:c>
      <x:c r="T19" s="62" t="str">
        <x:f>IF(N19&gt;0,"Target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9" s="62" t="str">
        <x:v>Apply target base-stat minus source base-stat to each live stat once; no RNG at evolution.</x:v>
      </x:c>
      <x:c r="V19" s="62" t="str">
        <x:v>Regional_Dex_Progression_Learnsets_v3.xlsx</x:v>
      </x:c>
    </x:row>
    <x:row r="20">
      <x:c r="A20" s="60" t="n">
        <x:v>17</x:v>
      </x:c>
      <x:c r="B20" s="60" t="n">
        <x:v>28</x:v>
      </x:c>
      <x:c r="C20" s="62" t="str">
        <x:v>Cackena</x:v>
      </x:c>
      <x:c r="D20" s="62" t="n">
        <x:v>29</x:v>
      </x:c>
      <x:c r="E20" s="62" t="str">
        <x:v>Carriena</x:v>
      </x:c>
      <x:c r="F20" s="62" t="str">
        <x:v>LEVEL</x:v>
      </x:c>
      <x:c r="G20" s="62" t="n">
        <x:v>38</x:v>
      </x:c>
      <x:c r="H20" s="62" t="str"/>
      <x:c r="I20" s="60" t="n">
        <x:f>VLOOKUP(B20,'Full Dex + Growth'!$A$4:$R$190,11,FALSE)</x:f>
        <x:v>395</x:v>
      </x:c>
      <x:c r="J20" s="60" t="n">
        <x:f>VLOOKUP(D20,'Full Dex + Growth'!$A$4:$R$190,11,FALSE)</x:f>
        <x:v>505</x:v>
      </x:c>
      <x:c r="K20" s="60" t="n">
        <x:f>J20-I20</x:f>
        <x:v>110</x:v>
      </x:c>
      <x:c r="L20" s="66" t="n">
        <x:f>VLOOKUP(B20,'Full Dex + Growth'!$A$4:$R$190,18,FALSE)</x:f>
        <x:v>2.45</x:v>
      </x:c>
      <x:c r="M20" s="66" t="n">
        <x:f>VLOOKUP(D20,'Full Dex + Growth'!$A$4:$R$190,18,FALSE)</x:f>
        <x:v>2.75</x:v>
      </x:c>
      <x:c r="N20" s="66" t="n">
        <x:f>M20-L20</x:f>
        <x:v>0.2999999999999998</x:v>
      </x:c>
      <x:c r="O20" s="66" t="n">
        <x:f>N20*4</x:f>
        <x:v>1.1999999999999993</x:v>
      </x:c>
      <x:c r="P20" s="66" t="n">
        <x:f>N20*10</x:f>
        <x:v>2.9999999999999982</x:v>
      </x:c>
      <x:c r="Q20" s="60" t="str">
        <x:f>IF(N20&gt;=0.9,"High",IF(N20&gt;=0.5,"Moderate","Low"))</x:f>
        <x:v>Low</x:v>
      </x:c>
      <x:c r="R20" s="60" t="n">
        <x:v>38</x:v>
      </x:c>
      <x:c r="S20" s="60" t="str">
        <x:v>KEEP EXISTING</x:v>
      </x:c>
      <x:c r="T20" s="62" t="str">
        <x:f>IF(N20&gt;0,"Target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0" s="62" t="str">
        <x:v>Apply target base-stat minus source base-stat to each live stat once; no RNG at evolution.</x:v>
      </x:c>
      <x:c r="V20" s="62" t="str">
        <x:v>Regional_Dex_Progression_Learnsets_v3.xlsx</x:v>
      </x:c>
    </x:row>
    <x:row r="21">
      <x:c r="A21" s="60" t="n">
        <x:v>18</x:v>
      </x:c>
      <x:c r="B21" s="60" t="n">
        <x:v>30</x:v>
      </x:c>
      <x:c r="C21" s="62" t="str">
        <x:v>Bantisk</x:v>
      </x:c>
      <x:c r="D21" s="62" t="n">
        <x:v>31</x:v>
      </x:c>
      <x:c r="E21" s="62" t="str">
        <x:v>Cockatrix</x:v>
      </x:c>
      <x:c r="F21" s="62" t="str">
        <x:v>LEVEL</x:v>
      </x:c>
      <x:c r="G21" s="62" t="n">
        <x:v>20</x:v>
      </x:c>
      <x:c r="H21" s="62" t="str"/>
      <x:c r="I21" s="60" t="n">
        <x:f>VLOOKUP(B21,'Full Dex + Growth'!$A$4:$R$190,11,FALSE)</x:f>
        <x:v>305</x:v>
      </x:c>
      <x:c r="J21" s="60" t="n">
        <x:f>VLOOKUP(D21,'Full Dex + Growth'!$A$4:$R$190,11,FALSE)</x:f>
        <x:v>420</x:v>
      </x:c>
      <x:c r="K21" s="60" t="n">
        <x:f>J21-I21</x:f>
        <x:v>115</x:v>
      </x:c>
      <x:c r="L21" s="66" t="n">
        <x:f>VLOOKUP(B21,'Full Dex + Growth'!$A$4:$R$190,18,FALSE)</x:f>
        <x:v>2.11</x:v>
      </x:c>
      <x:c r="M21" s="66" t="n">
        <x:f>VLOOKUP(D21,'Full Dex + Growth'!$A$4:$R$190,18,FALSE)</x:f>
        <x:v>2.47</x:v>
      </x:c>
      <x:c r="N21" s="66" t="n">
        <x:f>M21-L21</x:f>
        <x:v>0.3600000000000003</x:v>
      </x:c>
      <x:c r="O21" s="66" t="n">
        <x:f>N21*4</x:f>
        <x:v>1.4400000000000013</x:v>
      </x:c>
      <x:c r="P21" s="66" t="n">
        <x:f>N21*10</x:f>
        <x:v>3.600000000000003</x:v>
      </x:c>
      <x:c r="Q21" s="60" t="str">
        <x:f>IF(N21&gt;=0.9,"High",IF(N21&gt;=0.5,"Moderate","Low"))</x:f>
        <x:v>Low</x:v>
      </x:c>
      <x:c r="R21" s="60" t="n">
        <x:v>20</x:v>
      </x:c>
      <x:c r="S21" s="60" t="str">
        <x:v>KEEP EXISTING</x:v>
      </x:c>
      <x:c r="T21" s="62" t="str">
        <x:f>IF(N21&gt;0,"Target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1" s="62" t="str">
        <x:v>Apply target base-stat minus source base-stat to each live stat once; no RNG at evolution.</x:v>
      </x:c>
      <x:c r="V21" s="62" t="str">
        <x:v>Regional_Dex_Progression_Learnsets_v3.xlsx</x:v>
      </x:c>
    </x:row>
    <x:row r="22">
      <x:c r="A22" s="60" t="n">
        <x:v>19</x:v>
      </x:c>
      <x:c r="B22" s="60" t="n">
        <x:v>31</x:v>
      </x:c>
      <x:c r="C22" s="62" t="str">
        <x:v>Cockatrix</x:v>
      </x:c>
      <x:c r="D22" s="62" t="n">
        <x:v>32</x:v>
      </x:c>
      <x:c r="E22" s="62" t="str">
        <x:v>Regalisk</x:v>
      </x:c>
      <x:c r="F22" s="62" t="str">
        <x:v>LEVEL</x:v>
      </x:c>
      <x:c r="G22" s="62" t="n">
        <x:v>38</x:v>
      </x:c>
      <x:c r="H22" s="62" t="str"/>
      <x:c r="I22" s="60" t="n">
        <x:f>VLOOKUP(B22,'Full Dex + Growth'!$A$4:$R$190,11,FALSE)</x:f>
        <x:v>420</x:v>
      </x:c>
      <x:c r="J22" s="60" t="n">
        <x:f>VLOOKUP(D22,'Full Dex + Growth'!$A$4:$R$190,11,FALSE)</x:f>
        <x:v>535</x:v>
      </x:c>
      <x:c r="K22" s="60" t="n">
        <x:f>J22-I22</x:f>
        <x:v>115</x:v>
      </x:c>
      <x:c r="L22" s="66" t="n">
        <x:f>VLOOKUP(B22,'Full Dex + Growth'!$A$4:$R$190,18,FALSE)</x:f>
        <x:v>2.47</x:v>
      </x:c>
      <x:c r="M22" s="66" t="n">
        <x:f>VLOOKUP(D22,'Full Dex + Growth'!$A$4:$R$190,18,FALSE)</x:f>
        <x:v>2.82</x:v>
      </x:c>
      <x:c r="N22" s="66" t="n">
        <x:f>M22-L22</x:f>
        <x:v>0.34999999999999964</x:v>
      </x:c>
      <x:c r="O22" s="66" t="n">
        <x:f>N22*4</x:f>
        <x:v>1.3999999999999986</x:v>
      </x:c>
      <x:c r="P22" s="66" t="n">
        <x:f>N22*10</x:f>
        <x:v>3.4999999999999964</x:v>
      </x:c>
      <x:c r="Q22" s="60" t="str">
        <x:f>IF(N22&gt;=0.9,"High",IF(N22&gt;=0.5,"Moderate","Low"))</x:f>
        <x:v>Low</x:v>
      </x:c>
      <x:c r="R22" s="60" t="n">
        <x:v>38</x:v>
      </x:c>
      <x:c r="S22" s="60" t="str">
        <x:v>KEEP EXISTING</x:v>
      </x:c>
      <x:c r="T22" s="62" t="str">
        <x:f>IF(N22&gt;0,"Target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2" s="62" t="str">
        <x:v>Apply target base-stat minus source base-stat to each live stat once; no RNG at evolution.</x:v>
      </x:c>
      <x:c r="V22" s="62" t="str">
        <x:v>Regional_Dex_Progression_Learnsets_v3.xlsx</x:v>
      </x:c>
    </x:row>
    <x:row r="23">
      <x:c r="A23" s="60" t="n">
        <x:v>20</x:v>
      </x:c>
      <x:c r="B23" s="60" t="n">
        <x:v>33</x:v>
      </x:c>
      <x:c r="C23" s="62" t="str">
        <x:v>Eyret</x:v>
      </x:c>
      <x:c r="D23" s="62" t="n">
        <x:v>34</x:v>
      </x:c>
      <x:c r="E23" s="62" t="str">
        <x:v>Falchawk</x:v>
      </x:c>
      <x:c r="F23" s="62" t="str">
        <x:v>LEVEL</x:v>
      </x:c>
      <x:c r="G23" s="62" t="n">
        <x:v>26</x:v>
      </x:c>
      <x:c r="H23" s="62" t="str"/>
      <x:c r="I23" s="60" t="n">
        <x:f>VLOOKUP(B23,'Full Dex + Growth'!$A$4:$R$190,11,FALSE)</x:f>
        <x:v>300</x:v>
      </x:c>
      <x:c r="J23" s="60" t="n">
        <x:f>VLOOKUP(D23,'Full Dex + Growth'!$A$4:$R$190,11,FALSE)</x:f>
        <x:v>500</x:v>
      </x:c>
      <x:c r="K23" s="60" t="n">
        <x:f>J23-I23</x:f>
        <x:v>200</x:v>
      </x:c>
      <x:c r="L23" s="66" t="n">
        <x:f>VLOOKUP(B23,'Full Dex + Growth'!$A$4:$R$190,18,FALSE)</x:f>
        <x:v>2.09</x:v>
      </x:c>
      <x:c r="M23" s="66" t="n">
        <x:f>VLOOKUP(D23,'Full Dex + Growth'!$A$4:$R$190,18,FALSE)</x:f>
        <x:v>3.03</x:v>
      </x:c>
      <x:c r="N23" s="66" t="n">
        <x:f>M23-L23</x:f>
        <x:v>0.94</x:v>
      </x:c>
      <x:c r="O23" s="66" t="n">
        <x:f>N23*4</x:f>
        <x:v>3.76</x:v>
      </x:c>
      <x:c r="P23" s="66" t="n">
        <x:f>N23*10</x:f>
        <x:v>9.399999999999999</x:v>
      </x:c>
      <x:c r="Q23" s="60" t="str">
        <x:f>IF(N23&gt;=0.9,"High",IF(N23&gt;=0.5,"Moderate","Low"))</x:f>
        <x:v>High</x:v>
      </x:c>
      <x:c r="R23" s="60" t="n">
        <x:v>26</x:v>
      </x:c>
      <x:c r="S23" s="60" t="str">
        <x:v>KEEP EXISTING</x:v>
      </x:c>
      <x:c r="T23" s="62" t="str">
        <x:f>IF(N23&gt;0,"Target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3" s="62" t="str">
        <x:v>Apply target base-stat minus source base-stat to each live stat once; no RNG at evolution.</x:v>
      </x:c>
      <x:c r="V23" s="62" t="str">
        <x:v>Regional_Dex_Progression_Learnsets_v3.xlsx</x:v>
      </x:c>
    </x:row>
    <x:row r="24">
      <x:c r="A24" s="60" t="n">
        <x:v>21</x:v>
      </x:c>
      <x:c r="B24" s="60" t="n">
        <x:v>35</x:v>
      </x:c>
      <x:c r="C24" s="62" t="str">
        <x:v>Dromble</x:v>
      </x:c>
      <x:c r="D24" s="62" t="n">
        <x:v>36</x:v>
      </x:c>
      <x:c r="E24" s="62" t="str">
        <x:v>Caskamel</x:v>
      </x:c>
      <x:c r="F24" s="62" t="str">
        <x:v>LEVEL</x:v>
      </x:c>
      <x:c r="G24" s="62" t="n">
        <x:v>22</x:v>
      </x:c>
      <x:c r="H24" s="62" t="str"/>
      <x:c r="I24" s="60" t="n">
        <x:f>VLOOKUP(B24,'Full Dex + Growth'!$A$4:$R$190,11,FALSE)</x:f>
        <x:v>305</x:v>
      </x:c>
      <x:c r="J24" s="60" t="n">
        <x:f>VLOOKUP(D24,'Full Dex + Growth'!$A$4:$R$190,11,FALSE)</x:f>
        <x:v>405</x:v>
      </x:c>
      <x:c r="K24" s="60" t="n">
        <x:f>J24-I24</x:f>
        <x:v>100</x:v>
      </x:c>
      <x:c r="L24" s="66" t="n">
        <x:f>VLOOKUP(B24,'Full Dex + Growth'!$A$4:$R$190,18,FALSE)</x:f>
        <x:v>2.11</x:v>
      </x:c>
      <x:c r="M24" s="66" t="n">
        <x:f>VLOOKUP(D24,'Full Dex + Growth'!$A$4:$R$190,18,FALSE)</x:f>
        <x:v>2.48</x:v>
      </x:c>
      <x:c r="N24" s="66" t="n">
        <x:f>M24-L24</x:f>
        <x:v>0.3700000000000001</x:v>
      </x:c>
      <x:c r="O24" s="66" t="n">
        <x:f>N24*4</x:f>
        <x:v>1.4800000000000004</x:v>
      </x:c>
      <x:c r="P24" s="66" t="n">
        <x:f>N24*10</x:f>
        <x:v>3.700000000000001</x:v>
      </x:c>
      <x:c r="Q24" s="60" t="str">
        <x:f>IF(N24&gt;=0.9,"High",IF(N24&gt;=0.5,"Moderate","Low"))</x:f>
        <x:v>Low</x:v>
      </x:c>
      <x:c r="R24" s="60" t="n">
        <x:v>22</x:v>
      </x:c>
      <x:c r="S24" s="60" t="str">
        <x:v>KEEP EXISTING</x:v>
      </x:c>
      <x:c r="T24" s="62" t="str">
        <x:f>IF(N24&gt;0,"Target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4" s="62" t="str">
        <x:v>Apply target base-stat minus source base-stat to each live stat once; no RNG at evolution.</x:v>
      </x:c>
      <x:c r="V24" s="62" t="str">
        <x:v>Regional_Dex_Progression_Learnsets_v3.xlsx</x:v>
      </x:c>
    </x:row>
    <x:row r="25">
      <x:c r="A25" s="60" t="n">
        <x:v>22</x:v>
      </x:c>
      <x:c r="B25" s="60" t="n">
        <x:v>36</x:v>
      </x:c>
      <x:c r="C25" s="62" t="str">
        <x:v>Caskamel</x:v>
      </x:c>
      <x:c r="D25" s="62" t="n">
        <x:v>37</x:v>
      </x:c>
      <x:c r="E25" s="62" t="str">
        <x:v>Cisternel</x:v>
      </x:c>
      <x:c r="F25" s="62" t="str">
        <x:v>LEVEL</x:v>
      </x:c>
      <x:c r="G25" s="62" t="n">
        <x:v>40</x:v>
      </x:c>
      <x:c r="H25" s="62" t="str"/>
      <x:c r="I25" s="60" t="n">
        <x:f>VLOOKUP(B25,'Full Dex + Growth'!$A$4:$R$190,11,FALSE)</x:f>
        <x:v>405</x:v>
      </x:c>
      <x:c r="J25" s="60" t="n">
        <x:f>VLOOKUP(D25,'Full Dex + Growth'!$A$4:$R$190,11,FALSE)</x:f>
        <x:v>515</x:v>
      </x:c>
      <x:c r="K25" s="60" t="n">
        <x:f>J25-I25</x:f>
        <x:v>110</x:v>
      </x:c>
      <x:c r="L25" s="66" t="n">
        <x:f>VLOOKUP(B25,'Full Dex + Growth'!$A$4:$R$190,18,FALSE)</x:f>
        <x:v>2.48</x:v>
      </x:c>
      <x:c r="M25" s="66" t="n">
        <x:f>VLOOKUP(D25,'Full Dex + Growth'!$A$4:$R$190,18,FALSE)</x:f>
        <x:v>2.97</x:v>
      </x:c>
      <x:c r="N25" s="66" t="n">
        <x:f>M25-L25</x:f>
        <x:v>0.4900000000000002</x:v>
      </x:c>
      <x:c r="O25" s="66" t="n">
        <x:f>N25*4</x:f>
        <x:v>1.9600000000000009</x:v>
      </x:c>
      <x:c r="P25" s="66" t="n">
        <x:f>N25*10</x:f>
        <x:v>4.900000000000002</x:v>
      </x:c>
      <x:c r="Q25" s="60" t="str">
        <x:f>IF(N25&gt;=0.9,"High",IF(N25&gt;=0.5,"Moderate","Low"))</x:f>
        <x:v>Low</x:v>
      </x:c>
      <x:c r="R25" s="60" t="n">
        <x:v>40</x:v>
      </x:c>
      <x:c r="S25" s="60" t="str">
        <x:v>KEEP EXISTING</x:v>
      </x:c>
      <x:c r="T25" s="62" t="str">
        <x:f>IF(N25&gt;0,"Target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5" s="62" t="str">
        <x:v>Apply target base-stat minus source base-stat to each live stat once; no RNG at evolution.</x:v>
      </x:c>
      <x:c r="V25" s="62" t="str">
        <x:v>Regional_Dex_Progression_Learnsets_v3.xlsx</x:v>
      </x:c>
    </x:row>
    <x:row r="26">
      <x:c r="A26" s="60" t="n">
        <x:v>23</x:v>
      </x:c>
      <x:c r="B26" s="60" t="n">
        <x:v>38</x:v>
      </x:c>
      <x:c r="C26" s="62" t="str">
        <x:v>Stinglet</x:v>
      </x:c>
      <x:c r="D26" s="62" t="n">
        <x:v>39</x:v>
      </x:c>
      <x:c r="E26" s="62" t="str">
        <x:v>Trebuchor</x:v>
      </x:c>
      <x:c r="F26" s="62" t="str">
        <x:v>LEVEL</x:v>
      </x:c>
      <x:c r="G26" s="62" t="n">
        <x:v>26</x:v>
      </x:c>
      <x:c r="H26" s="62" t="str"/>
      <x:c r="I26" s="60" t="n">
        <x:f>VLOOKUP(B26,'Full Dex + Growth'!$A$4:$R$190,11,FALSE)</x:f>
        <x:v>300</x:v>
      </x:c>
      <x:c r="J26" s="60" t="n">
        <x:f>VLOOKUP(D26,'Full Dex + Growth'!$A$4:$R$190,11,FALSE)</x:f>
        <x:v>500</x:v>
      </x:c>
      <x:c r="K26" s="60" t="n">
        <x:f>J26-I26</x:f>
        <x:v>200</x:v>
      </x:c>
      <x:c r="L26" s="66" t="n">
        <x:f>VLOOKUP(B26,'Full Dex + Growth'!$A$4:$R$190,18,FALSE)</x:f>
        <x:v>2.08</x:v>
      </x:c>
      <x:c r="M26" s="66" t="n">
        <x:f>VLOOKUP(D26,'Full Dex + Growth'!$A$4:$R$190,18,FALSE)</x:f>
        <x:v>3.05</x:v>
      </x:c>
      <x:c r="N26" s="66" t="n">
        <x:f>M26-L26</x:f>
        <x:v>0.9699999999999998</x:v>
      </x:c>
      <x:c r="O26" s="66" t="n">
        <x:f>N26*4</x:f>
        <x:v>3.879999999999999</x:v>
      </x:c>
      <x:c r="P26" s="66" t="n">
        <x:f>N26*10</x:f>
        <x:v>9.699999999999998</x:v>
      </x:c>
      <x:c r="Q26" s="60" t="str">
        <x:f>IF(N26&gt;=0.9,"High",IF(N26&gt;=0.5,"Moderate","Low"))</x:f>
        <x:v>High</x:v>
      </x:c>
      <x:c r="R26" s="60" t="n">
        <x:v>26</x:v>
      </x:c>
      <x:c r="S26" s="60" t="str">
        <x:v>KEEP EXISTING</x:v>
      </x:c>
      <x:c r="T26" s="62" t="str">
        <x:f>IF(N26&gt;0,"Target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6" s="62" t="str">
        <x:v>Apply target base-stat minus source base-stat to each live stat once; no RNG at evolution.</x:v>
      </x:c>
      <x:c r="V26" s="62" t="str">
        <x:v>Regional_Dex_Progression_Learnsets_v3.xlsx</x:v>
      </x:c>
    </x:row>
    <x:row r="27">
      <x:c r="A27" s="60" t="n">
        <x:v>24</x:v>
      </x:c>
      <x:c r="B27" s="60" t="n">
        <x:v>40</x:v>
      </x:c>
      <x:c r="C27" s="62" t="str">
        <x:v>Niblust</x:v>
      </x:c>
      <x:c r="D27" s="62" t="n">
        <x:v>41</x:v>
      </x:c>
      <x:c r="E27" s="62" t="str">
        <x:v>Locruin</x:v>
      </x:c>
      <x:c r="F27" s="62" t="str">
        <x:v>LEVEL</x:v>
      </x:c>
      <x:c r="G27" s="62" t="n">
        <x:v>26</x:v>
      </x:c>
      <x:c r="H27" s="62" t="str"/>
      <x:c r="I27" s="60" t="n">
        <x:f>VLOOKUP(B27,'Full Dex + Growth'!$A$4:$R$190,11,FALSE)</x:f>
        <x:v>285</x:v>
      </x:c>
      <x:c r="J27" s="60" t="n">
        <x:f>VLOOKUP(D27,'Full Dex + Growth'!$A$4:$R$190,11,FALSE)</x:f>
        <x:v>480</x:v>
      </x:c>
      <x:c r="K27" s="60" t="n">
        <x:f>J27-I27</x:f>
        <x:v>195</x:v>
      </x:c>
      <x:c r="L27" s="66" t="n">
        <x:f>VLOOKUP(B27,'Full Dex + Growth'!$A$4:$R$190,18,FALSE)</x:f>
        <x:v>2.11</x:v>
      </x:c>
      <x:c r="M27" s="66" t="n">
        <x:f>VLOOKUP(D27,'Full Dex + Growth'!$A$4:$R$190,18,FALSE)</x:f>
        <x:v>2.91</x:v>
      </x:c>
      <x:c r="N27" s="66" t="n">
        <x:f>M27-L27</x:f>
        <x:v>0.8000000000000003</x:v>
      </x:c>
      <x:c r="O27" s="66" t="n">
        <x:f>N27*4</x:f>
        <x:v>3.200000000000001</x:v>
      </x:c>
      <x:c r="P27" s="66" t="n">
        <x:f>N27*10</x:f>
        <x:v>8.000000000000004</x:v>
      </x:c>
      <x:c r="Q27" s="60" t="str">
        <x:f>IF(N27&gt;=0.9,"High",IF(N27&gt;=0.5,"Moderate","Low"))</x:f>
        <x:v>Moderate</x:v>
      </x:c>
      <x:c r="R27" s="60" t="n">
        <x:v>26</x:v>
      </x:c>
      <x:c r="S27" s="60" t="str">
        <x:v>KEEP EXISTING</x:v>
      </x:c>
      <x:c r="T27" s="62" t="str">
        <x:f>IF(N27&gt;0,"Target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7" s="62" t="str">
        <x:v>Apply target base-stat minus source base-stat to each live stat once; no RNG at evolution.</x:v>
      </x:c>
      <x:c r="V27" s="62" t="str">
        <x:v>Regional_Dex_Progression_Learnsets_v3.xlsx</x:v>
      </x:c>
    </x:row>
    <x:row r="28">
      <x:c r="A28" s="60" t="n">
        <x:v>25</x:v>
      </x:c>
      <x:c r="B28" s="60" t="n">
        <x:v>42</x:v>
      </x:c>
      <x:c r="C28" s="62" t="str">
        <x:v>Sprigfawn</x:v>
      </x:c>
      <x:c r="D28" s="62" t="n">
        <x:v>43</x:v>
      </x:c>
      <x:c r="E28" s="62" t="str">
        <x:v>Olehart</x:v>
      </x:c>
      <x:c r="F28" s="62" t="str">
        <x:v>LEVEL</x:v>
      </x:c>
      <x:c r="G28" s="62" t="n">
        <x:v>26</x:v>
      </x:c>
      <x:c r="H28" s="62" t="str"/>
      <x:c r="I28" s="60" t="n">
        <x:f>VLOOKUP(B28,'Full Dex + Growth'!$A$4:$R$190,11,FALSE)</x:f>
        <x:v>300</x:v>
      </x:c>
      <x:c r="J28" s="60" t="n">
        <x:f>VLOOKUP(D28,'Full Dex + Growth'!$A$4:$R$190,11,FALSE)</x:f>
        <x:v>505</x:v>
      </x:c>
      <x:c r="K28" s="60" t="n">
        <x:f>J28-I28</x:f>
        <x:v>205</x:v>
      </x:c>
      <x:c r="L28" s="66" t="n">
        <x:f>VLOOKUP(B28,'Full Dex + Growth'!$A$4:$R$190,18,FALSE)</x:f>
        <x:v>1.95</x:v>
      </x:c>
      <x:c r="M28" s="66" t="n">
        <x:f>VLOOKUP(D28,'Full Dex + Growth'!$A$4:$R$190,18,FALSE)</x:f>
        <x:v>2.75</x:v>
      </x:c>
      <x:c r="N28" s="66" t="n">
        <x:f>M28-L28</x:f>
        <x:v>0.8</x:v>
      </x:c>
      <x:c r="O28" s="66" t="n">
        <x:f>N28*4</x:f>
        <x:v>3.2</x:v>
      </x:c>
      <x:c r="P28" s="66" t="n">
        <x:f>N28*10</x:f>
        <x:v>8</x:v>
      </x:c>
      <x:c r="Q28" s="60" t="str">
        <x:f>IF(N28&gt;=0.9,"High",IF(N28&gt;=0.5,"Moderate","Low"))</x:f>
        <x:v>Moderate</x:v>
      </x:c>
      <x:c r="R28" s="60" t="n">
        <x:v>26</x:v>
      </x:c>
      <x:c r="S28" s="60" t="str">
        <x:v>KEEP EXISTING</x:v>
      </x:c>
      <x:c r="T28" s="62" t="str">
        <x:f>IF(N28&gt;0,"Target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8" s="62" t="str">
        <x:v>Apply target base-stat minus source base-stat to each live stat once; no RNG at evolution.</x:v>
      </x:c>
      <x:c r="V28" s="62" t="str">
        <x:v>Regional_Dex_Progression_Learnsets_v3.xlsx</x:v>
      </x:c>
    </x:row>
    <x:row r="29">
      <x:c r="A29" s="60" t="n">
        <x:v>26</x:v>
      </x:c>
      <x:c r="B29" s="60" t="n">
        <x:v>44</x:v>
      </x:c>
      <x:c r="C29" s="62" t="str">
        <x:v>Cubanner</x:v>
      </x:c>
      <x:c r="D29" s="62" t="n">
        <x:v>45</x:v>
      </x:c>
      <x:c r="E29" s="62" t="str">
        <x:v>Prideguard</x:v>
      </x:c>
      <x:c r="F29" s="62" t="str">
        <x:v>LEVEL</x:v>
      </x:c>
      <x:c r="G29" s="62" t="n">
        <x:v>20</x:v>
      </x:c>
      <x:c r="H29" s="62" t="str"/>
      <x:c r="I29" s="60" t="n">
        <x:f>VLOOKUP(B29,'Full Dex + Growth'!$A$4:$R$190,11,FALSE)</x:f>
        <x:v>310</x:v>
      </x:c>
      <x:c r="J29" s="60" t="n">
        <x:f>VLOOKUP(D29,'Full Dex + Growth'!$A$4:$R$190,11,FALSE)</x:f>
        <x:v>420</x:v>
      </x:c>
      <x:c r="K29" s="60" t="n">
        <x:f>J29-I29</x:f>
        <x:v>110</x:v>
      </x:c>
      <x:c r="L29" s="66" t="n">
        <x:f>VLOOKUP(B29,'Full Dex + Growth'!$A$4:$R$190,18,FALSE)</x:f>
        <x:v>2.07</x:v>
      </x:c>
      <x:c r="M29" s="66" t="n">
        <x:f>VLOOKUP(D29,'Full Dex + Growth'!$A$4:$R$190,18,FALSE)</x:f>
        <x:v>2.53</x:v>
      </x:c>
      <x:c r="N29" s="66" t="n">
        <x:f>M29-L29</x:f>
        <x:v>0.45999999999999996</x:v>
      </x:c>
      <x:c r="O29" s="66" t="n">
        <x:f>N29*4</x:f>
        <x:v>1.8399999999999999</x:v>
      </x:c>
      <x:c r="P29" s="66" t="n">
        <x:f>N29*10</x:f>
        <x:v>4.6</x:v>
      </x:c>
      <x:c r="Q29" s="60" t="str">
        <x:f>IF(N29&gt;=0.9,"High",IF(N29&gt;=0.5,"Moderate","Low"))</x:f>
        <x:v>Low</x:v>
      </x:c>
      <x:c r="R29" s="60" t="n">
        <x:v>20</x:v>
      </x:c>
      <x:c r="S29" s="60" t="str">
        <x:v>KEEP EXISTING</x:v>
      </x:c>
      <x:c r="T29" s="62" t="str">
        <x:f>IF(N29&gt;0,"Target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29" s="62" t="str">
        <x:v>Apply target base-stat minus source base-stat to each live stat once; no RNG at evolution.</x:v>
      </x:c>
      <x:c r="V29" s="62" t="str">
        <x:v>Regional_Dex_Progression_Learnsets_v3.xlsx</x:v>
      </x:c>
    </x:row>
    <x:row r="30">
      <x:c r="A30" s="60" t="n">
        <x:v>27</x:v>
      </x:c>
      <x:c r="B30" s="60" t="n">
        <x:v>45</x:v>
      </x:c>
      <x:c r="C30" s="62" t="str">
        <x:v>Prideguard</x:v>
      </x:c>
      <x:c r="D30" s="62" t="n">
        <x:v>46</x:v>
      </x:c>
      <x:c r="E30" s="62" t="str">
        <x:v>Leonarch</x:v>
      </x:c>
      <x:c r="F30" s="62" t="str">
        <x:v>LEVEL</x:v>
      </x:c>
      <x:c r="G30" s="62" t="n">
        <x:v>38</x:v>
      </x:c>
      <x:c r="H30" s="62" t="str"/>
      <x:c r="I30" s="60" t="n">
        <x:f>VLOOKUP(B30,'Full Dex + Growth'!$A$4:$R$190,11,FALSE)</x:f>
        <x:v>420</x:v>
      </x:c>
      <x:c r="J30" s="60" t="n">
        <x:f>VLOOKUP(D30,'Full Dex + Growth'!$A$4:$R$190,11,FALSE)</x:f>
        <x:v>535</x:v>
      </x:c>
      <x:c r="K30" s="60" t="n">
        <x:f>J30-I30</x:f>
        <x:v>115</x:v>
      </x:c>
      <x:c r="L30" s="66" t="n">
        <x:f>VLOOKUP(B30,'Full Dex + Growth'!$A$4:$R$190,18,FALSE)</x:f>
        <x:v>2.53</x:v>
      </x:c>
      <x:c r="M30" s="66" t="n">
        <x:f>VLOOKUP(D30,'Full Dex + Growth'!$A$4:$R$190,18,FALSE)</x:f>
        <x:v>2.9</x:v>
      </x:c>
      <x:c r="N30" s="66" t="n">
        <x:f>M30-L30</x:f>
        <x:v>0.3700000000000001</x:v>
      </x:c>
      <x:c r="O30" s="66" t="n">
        <x:f>N30*4</x:f>
        <x:v>1.4800000000000004</x:v>
      </x:c>
      <x:c r="P30" s="66" t="n">
        <x:f>N30*10</x:f>
        <x:v>3.700000000000001</x:v>
      </x:c>
      <x:c r="Q30" s="60" t="str">
        <x:f>IF(N30&gt;=0.9,"High",IF(N30&gt;=0.5,"Moderate","Low"))</x:f>
        <x:v>Low</x:v>
      </x:c>
      <x:c r="R30" s="60" t="n">
        <x:v>38</x:v>
      </x:c>
      <x:c r="S30" s="60" t="str">
        <x:v>KEEP EXISTING</x:v>
      </x:c>
      <x:c r="T30" s="62" t="str">
        <x:f>IF(N30&gt;0,"Target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0" s="62" t="str">
        <x:v>Apply target base-stat minus source base-stat to each live stat once; no RNG at evolution.</x:v>
      </x:c>
      <x:c r="V30" s="62" t="str">
        <x:v>Regional_Dex_Progression_Learnsets_v3.xlsx</x:v>
      </x:c>
    </x:row>
    <x:row r="31">
      <x:c r="A31" s="60" t="n">
        <x:v>28</x:v>
      </x:c>
      <x:c r="B31" s="60" t="n">
        <x:v>47</x:v>
      </x:c>
      <x:c r="C31" s="62" t="str">
        <x:v>Rutlet</x:v>
      </x:c>
      <x:c r="D31" s="62" t="n">
        <x:v>48</x:v>
      </x:c>
      <x:c r="E31" s="62" t="str">
        <x:v>Ramporque</x:v>
      </x:c>
      <x:c r="F31" s="62" t="str">
        <x:v>LEVEL</x:v>
      </x:c>
      <x:c r="G31" s="62" t="n">
        <x:v>26</x:v>
      </x:c>
      <x:c r="H31" s="62" t="str"/>
      <x:c r="I31" s="60" t="n">
        <x:f>VLOOKUP(B31,'Full Dex + Growth'!$A$4:$R$190,11,FALSE)</x:f>
        <x:v>305</x:v>
      </x:c>
      <x:c r="J31" s="60" t="n">
        <x:f>VLOOKUP(D31,'Full Dex + Growth'!$A$4:$R$190,11,FALSE)</x:f>
        <x:v>505</x:v>
      </x:c>
      <x:c r="K31" s="60" t="n">
        <x:f>J31-I31</x:f>
        <x:v>200</x:v>
      </x:c>
      <x:c r="L31" s="66" t="n">
        <x:f>VLOOKUP(B31,'Full Dex + Growth'!$A$4:$R$190,18,FALSE)</x:f>
        <x:v>2.08</x:v>
      </x:c>
      <x:c r="M31" s="66" t="n">
        <x:f>VLOOKUP(D31,'Full Dex + Growth'!$A$4:$R$190,18,FALSE)</x:f>
        <x:v>3.04</x:v>
      </x:c>
      <x:c r="N31" s="66" t="n">
        <x:f>M31-L31</x:f>
        <x:v>0.96</x:v>
      </x:c>
      <x:c r="O31" s="66" t="n">
        <x:f>N31*4</x:f>
        <x:v>3.84</x:v>
      </x:c>
      <x:c r="P31" s="66" t="n">
        <x:f>N31*10</x:f>
        <x:v>9.6</x:v>
      </x:c>
      <x:c r="Q31" s="60" t="str">
        <x:f>IF(N31&gt;=0.9,"High",IF(N31&gt;=0.5,"Moderate","Low"))</x:f>
        <x:v>High</x:v>
      </x:c>
      <x:c r="R31" s="60" t="n">
        <x:v>26</x:v>
      </x:c>
      <x:c r="S31" s="60" t="str">
        <x:v>KEEP EXISTING</x:v>
      </x:c>
      <x:c r="T31" s="62" t="str">
        <x:f>IF(N31&gt;0,"Target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1" s="62" t="str">
        <x:v>Apply target base-stat minus source base-stat to each live stat once; no RNG at evolution.</x:v>
      </x:c>
      <x:c r="V31" s="62" t="str">
        <x:v>Regional_Dex_Progression_Learnsets_v3.xlsx</x:v>
      </x:c>
    </x:row>
    <x:row r="32">
      <x:c r="A32" s="60" t="n">
        <x:v>29</x:v>
      </x:c>
      <x:c r="B32" s="60" t="n">
        <x:v>49</x:v>
      </x:c>
      <x:c r="C32" s="62" t="str">
        <x:v>Mirascal</x:v>
      </x:c>
      <x:c r="D32" s="62" t="n">
        <x:v>50</x:v>
      </x:c>
      <x:c r="E32" s="62" t="str">
        <x:v>Sunscint</x:v>
      </x:c>
      <x:c r="F32" s="62" t="str">
        <x:v>LEVEL</x:v>
      </x:c>
      <x:c r="G32" s="62" t="n">
        <x:v>26</x:v>
      </x:c>
      <x:c r="H32" s="62" t="str"/>
      <x:c r="I32" s="60" t="n">
        <x:f>VLOOKUP(B32,'Full Dex + Growth'!$A$4:$R$190,11,FALSE)</x:f>
        <x:v>300</x:v>
      </x:c>
      <x:c r="J32" s="60" t="n">
        <x:f>VLOOKUP(D32,'Full Dex + Growth'!$A$4:$R$190,11,FALSE)</x:f>
        <x:v>510</x:v>
      </x:c>
      <x:c r="K32" s="60" t="n">
        <x:f>J32-I32</x:f>
        <x:v>210</x:v>
      </x:c>
      <x:c r="L32" s="66" t="n">
        <x:f>VLOOKUP(B32,'Full Dex + Growth'!$A$4:$R$190,18,FALSE)</x:f>
        <x:v>2.15</x:v>
      </x:c>
      <x:c r="M32" s="66" t="n">
        <x:f>VLOOKUP(D32,'Full Dex + Growth'!$A$4:$R$190,18,FALSE)</x:f>
        <x:v>2.95</x:v>
      </x:c>
      <x:c r="N32" s="66" t="n">
        <x:f>M32-L32</x:f>
        <x:v>0.8000000000000003</x:v>
      </x:c>
      <x:c r="O32" s="66" t="n">
        <x:f>N32*4</x:f>
        <x:v>3.200000000000001</x:v>
      </x:c>
      <x:c r="P32" s="66" t="n">
        <x:f>N32*10</x:f>
        <x:v>8.000000000000004</x:v>
      </x:c>
      <x:c r="Q32" s="60" t="str">
        <x:f>IF(N32&gt;=0.9,"High",IF(N32&gt;=0.5,"Moderate","Low"))</x:f>
        <x:v>Moderate</x:v>
      </x:c>
      <x:c r="R32" s="60" t="n">
        <x:v>26</x:v>
      </x:c>
      <x:c r="S32" s="60" t="str">
        <x:v>KEEP EXISTING</x:v>
      </x:c>
      <x:c r="T32" s="62" t="str">
        <x:f>IF(N32&gt;0,"Target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2" s="62" t="str">
        <x:v>Apply target base-stat minus source base-stat to each live stat once; no RNG at evolution.</x:v>
      </x:c>
      <x:c r="V32" s="62" t="str">
        <x:v>Regional_Dex_Progression_Learnsets_v3.xlsx</x:v>
      </x:c>
    </x:row>
    <x:row r="33">
      <x:c r="A33" s="60" t="n">
        <x:v>30</x:v>
      </x:c>
      <x:c r="B33" s="60" t="n">
        <x:v>51</x:v>
      </x:c>
      <x:c r="C33" s="62" t="str">
        <x:v>Rillip</x:v>
      </x:c>
      <x:c r="D33" s="62" t="n">
        <x:v>52</x:v>
      </x:c>
      <x:c r="E33" s="62" t="str">
        <x:v>Galvaneel</x:v>
      </x:c>
      <x:c r="F33" s="62" t="str">
        <x:v>LEVEL</x:v>
      </x:c>
      <x:c r="G33" s="62" t="n">
        <x:v>28</x:v>
      </x:c>
      <x:c r="H33" s="62" t="str"/>
      <x:c r="I33" s="60" t="n">
        <x:f>VLOOKUP(B33,'Full Dex + Growth'!$A$4:$R$190,11,FALSE)</x:f>
        <x:v>290</x:v>
      </x:c>
      <x:c r="J33" s="60" t="n">
        <x:f>VLOOKUP(D33,'Full Dex + Growth'!$A$4:$R$190,11,FALSE)</x:f>
        <x:v>500</x:v>
      </x:c>
      <x:c r="K33" s="60" t="n">
        <x:f>J33-I33</x:f>
        <x:v>210</x:v>
      </x:c>
      <x:c r="L33" s="66" t="n">
        <x:f>VLOOKUP(B33,'Full Dex + Growth'!$A$4:$R$190,18,FALSE)</x:f>
        <x:v>2.1</x:v>
      </x:c>
      <x:c r="M33" s="66" t="n">
        <x:f>VLOOKUP(D33,'Full Dex + Growth'!$A$4:$R$190,18,FALSE)</x:f>
        <x:v>2.96</x:v>
      </x:c>
      <x:c r="N33" s="66" t="n">
        <x:f>M33-L33</x:f>
        <x:v>0.8599999999999999</x:v>
      </x:c>
      <x:c r="O33" s="66" t="n">
        <x:f>N33*4</x:f>
        <x:v>3.4399999999999995</x:v>
      </x:c>
      <x:c r="P33" s="66" t="n">
        <x:f>N33*10</x:f>
        <x:v>8.599999999999998</x:v>
      </x:c>
      <x:c r="Q33" s="60" t="str">
        <x:f>IF(N33&gt;=0.9,"High",IF(N33&gt;=0.5,"Moderate","Low"))</x:f>
        <x:v>Moderate</x:v>
      </x:c>
      <x:c r="R33" s="60" t="n">
        <x:v>28</x:v>
      </x:c>
      <x:c r="S33" s="60" t="str">
        <x:v>KEEP EXISTING</x:v>
      </x:c>
      <x:c r="T33" s="62" t="str">
        <x:f>IF(N33&gt;0,"Target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3" s="62" t="str">
        <x:v>Apply target base-stat minus source base-stat to each live stat once; no RNG at evolution.</x:v>
      </x:c>
      <x:c r="V33" s="62" t="str">
        <x:v>Regional_Dex_Progression_Learnsets_v3.xlsx</x:v>
      </x:c>
    </x:row>
    <x:row r="34">
      <x:c r="A34" s="60" t="n">
        <x:v>31</x:v>
      </x:c>
      <x:c r="B34" s="60" t="n">
        <x:v>53</x:v>
      </x:c>
      <x:c r="C34" s="62" t="str">
        <x:v>Scripquid</x:v>
      </x:c>
      <x:c r="D34" s="62" t="n">
        <x:v>54</x:v>
      </x:c>
      <x:c r="E34" s="62" t="str">
        <x:v>Palimopus</x:v>
      </x:c>
      <x:c r="F34" s="62" t="str">
        <x:v>LEVEL</x:v>
      </x:c>
      <x:c r="G34" s="62" t="n">
        <x:v>28</x:v>
      </x:c>
      <x:c r="H34" s="62" t="str"/>
      <x:c r="I34" s="60" t="n">
        <x:f>VLOOKUP(B34,'Full Dex + Growth'!$A$4:$R$190,11,FALSE)</x:f>
        <x:v>300</x:v>
      </x:c>
      <x:c r="J34" s="60" t="n">
        <x:f>VLOOKUP(D34,'Full Dex + Growth'!$A$4:$R$190,11,FALSE)</x:f>
        <x:v>510</x:v>
      </x:c>
      <x:c r="K34" s="60" t="n">
        <x:f>J34-I34</x:f>
        <x:v>210</x:v>
      </x:c>
      <x:c r="L34" s="66" t="n">
        <x:f>VLOOKUP(B34,'Full Dex + Growth'!$A$4:$R$190,18,FALSE)</x:f>
        <x:v>2.09</x:v>
      </x:c>
      <x:c r="M34" s="66" t="n">
        <x:f>VLOOKUP(D34,'Full Dex + Growth'!$A$4:$R$190,18,FALSE)</x:f>
        <x:v>2.9</x:v>
      </x:c>
      <x:c r="N34" s="66" t="n">
        <x:f>M34-L34</x:f>
        <x:v>0.81</x:v>
      </x:c>
      <x:c r="O34" s="66" t="n">
        <x:f>N34*4</x:f>
        <x:v>3.24</x:v>
      </x:c>
      <x:c r="P34" s="66" t="n">
        <x:f>N34*10</x:f>
        <x:v>8.100000000000001</x:v>
      </x:c>
      <x:c r="Q34" s="60" t="str">
        <x:f>IF(N34&gt;=0.9,"High",IF(N34&gt;=0.5,"Moderate","Low"))</x:f>
        <x:v>Moderate</x:v>
      </x:c>
      <x:c r="R34" s="60" t="n">
        <x:v>28</x:v>
      </x:c>
      <x:c r="S34" s="60" t="str">
        <x:v>KEEP EXISTING</x:v>
      </x:c>
      <x:c r="T34" s="62" t="str">
        <x:f>IF(N34&gt;0,"Target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4" s="62" t="str">
        <x:v>Apply target base-stat minus source base-stat to each live stat once; no RNG at evolution.</x:v>
      </x:c>
      <x:c r="V34" s="62" t="str">
        <x:v>Regional_Dex_Progression_Learnsets_v3.xlsx</x:v>
      </x:c>
    </x:row>
    <x:row r="35">
      <x:c r="A35" s="60" t="n">
        <x:v>32</x:v>
      </x:c>
      <x:c r="B35" s="60" t="n">
        <x:v>55</x:v>
      </x:c>
      <x:c r="C35" s="62" t="str">
        <x:v>Chalkit</x:v>
      </x:c>
      <x:c r="D35" s="62" t="n">
        <x:v>56</x:v>
      </x:c>
      <x:c r="E35" s="62" t="str">
        <x:v>Albannor</x:v>
      </x:c>
      <x:c r="F35" s="62" t="str">
        <x:v>LEVEL</x:v>
      </x:c>
      <x:c r="G35" s="62" t="n">
        <x:v>26</x:v>
      </x:c>
      <x:c r="H35" s="62" t="str"/>
      <x:c r="I35" s="60" t="n">
        <x:f>VLOOKUP(B35,'Full Dex + Growth'!$A$4:$R$190,11,FALSE)</x:f>
        <x:v>300</x:v>
      </x:c>
      <x:c r="J35" s="60" t="n">
        <x:f>VLOOKUP(D35,'Full Dex + Growth'!$A$4:$R$190,11,FALSE)</x:f>
        <x:v>490</x:v>
      </x:c>
      <x:c r="K35" s="60" t="n">
        <x:f>J35-I35</x:f>
        <x:v>190</x:v>
      </x:c>
      <x:c r="L35" s="66" t="n">
        <x:f>VLOOKUP(B35,'Full Dex + Growth'!$A$4:$R$190,18,FALSE)</x:f>
        <x:v>2.09</x:v>
      </x:c>
      <x:c r="M35" s="66" t="n">
        <x:f>VLOOKUP(D35,'Full Dex + Growth'!$A$4:$R$190,18,FALSE)</x:f>
        <x:v>2.72</x:v>
      </x:c>
      <x:c r="N35" s="66" t="n">
        <x:f>M35-L35</x:f>
        <x:v>0.6300000000000003</x:v>
      </x:c>
      <x:c r="O35" s="66" t="n">
        <x:f>N35*4</x:f>
        <x:v>2.5200000000000014</x:v>
      </x:c>
      <x:c r="P35" s="66" t="n">
        <x:f>N35*10</x:f>
        <x:v>6.300000000000003</x:v>
      </x:c>
      <x:c r="Q35" s="60" t="str">
        <x:f>IF(N35&gt;=0.9,"High",IF(N35&gt;=0.5,"Moderate","Low"))</x:f>
        <x:v>Moderate</x:v>
      </x:c>
      <x:c r="R35" s="60" t="n">
        <x:v>26</x:v>
      </x:c>
      <x:c r="S35" s="60" t="str">
        <x:v>KEEP EXISTING</x:v>
      </x:c>
      <x:c r="T35" s="62" t="str">
        <x:f>IF(N35&gt;0,"Target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5" s="62" t="str">
        <x:v>Apply target base-stat minus source base-stat to each live stat once; no RNG at evolution.</x:v>
      </x:c>
      <x:c r="V35" s="62" t="str">
        <x:v>Regional_Dex_Progression_Learnsets_v3.xlsx</x:v>
      </x:c>
    </x:row>
    <x:row r="36">
      <x:c r="A36" s="60" t="n">
        <x:v>33</x:v>
      </x:c>
      <x:c r="B36" s="60" t="n">
        <x:v>57</x:v>
      </x:c>
      <x:c r="C36" s="62" t="str">
        <x:v>Censmoke</x:v>
      </x:c>
      <x:c r="D36" s="62" t="n">
        <x:v>58</x:v>
      </x:c>
      <x:c r="E36" s="62" t="str">
        <x:v>Thurafume</x:v>
      </x:c>
      <x:c r="F36" s="62" t="str">
        <x:v>STORY CHOICE</x:v>
      </x:c>
      <x:c r="G36" s="62" t="n">
        <x:v>30</x:v>
      </x:c>
      <x:c r="H36" s="62" t="str">
        <x:v>STORY_SANCTIFY_RELIC</x:v>
      </x:c>
      <x:c r="I36" s="60" t="n">
        <x:f>VLOOKUP(B36,'Full Dex + Growth'!$A$4:$R$190,11,FALSE)</x:f>
        <x:v>305</x:v>
      </x:c>
      <x:c r="J36" s="60" t="n">
        <x:f>VLOOKUP(D36,'Full Dex + Growth'!$A$4:$R$190,11,FALSE)</x:f>
        <x:v>500</x:v>
      </x:c>
      <x:c r="K36" s="60" t="n">
        <x:f>J36-I36</x:f>
        <x:v>195</x:v>
      </x:c>
      <x:c r="L36" s="66" t="n">
        <x:f>VLOOKUP(B36,'Full Dex + Growth'!$A$4:$R$190,18,FALSE)</x:f>
        <x:v>2.06</x:v>
      </x:c>
      <x:c r="M36" s="66" t="n">
        <x:f>VLOOKUP(D36,'Full Dex + Growth'!$A$4:$R$190,18,FALSE)</x:f>
        <x:v>2.84</x:v>
      </x:c>
      <x:c r="N36" s="66" t="n">
        <x:f>M36-L36</x:f>
        <x:v>0.7799999999999998</x:v>
      </x:c>
      <x:c r="O36" s="66" t="n">
        <x:f>N36*4</x:f>
        <x:v>3.119999999999999</x:v>
      </x:c>
      <x:c r="P36" s="66" t="n">
        <x:f>N36*10</x:f>
        <x:v>7.799999999999998</x:v>
      </x:c>
      <x:c r="Q36" s="60" t="str">
        <x:f>IF(N36&gt;=0.9,"High",IF(N36&gt;=0.5,"Moderate","Low"))</x:f>
        <x:v>Moderate</x:v>
      </x:c>
      <x:c r="R36" s="60" t="n">
        <x:v>30</x:v>
      </x:c>
      <x:c r="S36" s="60" t="str">
        <x:v>KEEP EXISTING</x:v>
      </x:c>
      <x:c r="T36" s="62" t="str">
        <x:f>IF(N36&gt;0,"Target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6" s="62" t="str">
        <x:v>Apply target base-stat minus source base-stat to each live stat once; no RNG at evolution.</x:v>
      </x:c>
      <x:c r="V36" s="62" t="str">
        <x:v>Regional_Dex_Progression_Learnsets_v3.xlsx</x:v>
      </x:c>
    </x:row>
    <x:row r="37">
      <x:c r="A37" s="60" t="n">
        <x:v>34</x:v>
      </x:c>
      <x:c r="B37" s="60" t="n">
        <x:v>57</x:v>
      </x:c>
      <x:c r="C37" s="62" t="str">
        <x:v>Censmoke</x:v>
      </x:c>
      <x:c r="D37" s="62" t="n">
        <x:v>59</x:v>
      </x:c>
      <x:c r="E37" s="62" t="str">
        <x:v>Malifume</x:v>
      </x:c>
      <x:c r="F37" s="62" t="str">
        <x:v>STORY CHOICE</x:v>
      </x:c>
      <x:c r="G37" s="62" t="n">
        <x:v>30</x:v>
      </x:c>
      <x:c r="H37" s="62" t="str">
        <x:v>STORY_DEFILE_RELIC</x:v>
      </x:c>
      <x:c r="I37" s="60" t="n">
        <x:f>VLOOKUP(B37,'Full Dex + Growth'!$A$4:$R$190,11,FALSE)</x:f>
        <x:v>305</x:v>
      </x:c>
      <x:c r="J37" s="60" t="n">
        <x:f>VLOOKUP(D37,'Full Dex + Growth'!$A$4:$R$190,11,FALSE)</x:f>
        <x:v>500</x:v>
      </x:c>
      <x:c r="K37" s="60" t="n">
        <x:f>J37-I37</x:f>
        <x:v>195</x:v>
      </x:c>
      <x:c r="L37" s="66" t="n">
        <x:f>VLOOKUP(B37,'Full Dex + Growth'!$A$4:$R$190,18,FALSE)</x:f>
        <x:v>2.06</x:v>
      </x:c>
      <x:c r="M37" s="66" t="n">
        <x:f>VLOOKUP(D37,'Full Dex + Growth'!$A$4:$R$190,18,FALSE)</x:f>
        <x:v>2.78</x:v>
      </x:c>
      <x:c r="N37" s="66" t="n">
        <x:f>M37-L37</x:f>
        <x:v>0.7199999999999998</x:v>
      </x:c>
      <x:c r="O37" s="66" t="n">
        <x:f>N37*4</x:f>
        <x:v>2.879999999999999</x:v>
      </x:c>
      <x:c r="P37" s="66" t="n">
        <x:f>N37*10</x:f>
        <x:v>7.1999999999999975</x:v>
      </x:c>
      <x:c r="Q37" s="60" t="str">
        <x:f>IF(N37&gt;=0.9,"High",IF(N37&gt;=0.5,"Moderate","Low"))</x:f>
        <x:v>Moderate</x:v>
      </x:c>
      <x:c r="R37" s="60" t="n">
        <x:v>30</x:v>
      </x:c>
      <x:c r="S37" s="60" t="str">
        <x:v>KEEP EXISTING</x:v>
      </x:c>
      <x:c r="T37" s="62" t="str">
        <x:f>IF(N37&gt;0,"Target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7" s="62" t="str">
        <x:v>Apply target base-stat minus source base-stat to each live stat once; no RNG at evolution.</x:v>
      </x:c>
      <x:c r="V37" s="62" t="str">
        <x:v>Regional_Dex_Progression_Learnsets_v3.xlsx</x:v>
      </x:c>
    </x:row>
    <x:row r="38">
      <x:c r="A38" s="60" t="n">
        <x:v>35</x:v>
      </x:c>
      <x:c r="B38" s="60" t="n">
        <x:v>60</x:v>
      </x:c>
      <x:c r="C38" s="62" t="str">
        <x:v>Pomling</x:v>
      </x:c>
      <x:c r="D38" s="62" t="n">
        <x:v>61</x:v>
      </x:c>
      <x:c r="E38" s="62" t="str">
        <x:v>Granadove</x:v>
      </x:c>
      <x:c r="F38" s="62" t="str">
        <x:v>LEVEL</x:v>
      </x:c>
      <x:c r="G38" s="62" t="n">
        <x:v>26</x:v>
      </x:c>
      <x:c r="H38" s="62" t="str"/>
      <x:c r="I38" s="60" t="n">
        <x:f>VLOOKUP(B38,'Full Dex + Growth'!$A$4:$R$190,11,FALSE)</x:f>
        <x:v>295</x:v>
      </x:c>
      <x:c r="J38" s="60" t="n">
        <x:f>VLOOKUP(D38,'Full Dex + Growth'!$A$4:$R$190,11,FALSE)</x:f>
        <x:v>480</x:v>
      </x:c>
      <x:c r="K38" s="60" t="n">
        <x:f>J38-I38</x:f>
        <x:v>185</x:v>
      </x:c>
      <x:c r="L38" s="66" t="n">
        <x:f>VLOOKUP(B38,'Full Dex + Growth'!$A$4:$R$190,18,FALSE)</x:f>
        <x:v>2.04</x:v>
      </x:c>
      <x:c r="M38" s="66" t="n">
        <x:f>VLOOKUP(D38,'Full Dex + Growth'!$A$4:$R$190,18,FALSE)</x:f>
        <x:v>2.69</x:v>
      </x:c>
      <x:c r="N38" s="66" t="n">
        <x:f>M38-L38</x:f>
        <x:v>0.6499999999999999</x:v>
      </x:c>
      <x:c r="O38" s="66" t="n">
        <x:f>N38*4</x:f>
        <x:v>2.5999999999999996</x:v>
      </x:c>
      <x:c r="P38" s="66" t="n">
        <x:f>N38*10</x:f>
        <x:v>6.499999999999999</x:v>
      </x:c>
      <x:c r="Q38" s="60" t="str">
        <x:f>IF(N38&gt;=0.9,"High",IF(N38&gt;=0.5,"Moderate","Low"))</x:f>
        <x:v>Moderate</x:v>
      </x:c>
      <x:c r="R38" s="60" t="n">
        <x:v>26</x:v>
      </x:c>
      <x:c r="S38" s="60" t="str">
        <x:v>KEEP EXISTING</x:v>
      </x:c>
      <x:c r="T38" s="62" t="str">
        <x:f>IF(N38&gt;0,"Target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8" s="62" t="str">
        <x:v>Apply target base-stat minus source base-stat to each live stat once; no RNG at evolution.</x:v>
      </x:c>
      <x:c r="V38" s="62" t="str">
        <x:v>Regional_Dex_Progression_Learnsets_v3.xlsx</x:v>
      </x:c>
    </x:row>
    <x:row r="39">
      <x:c r="A39" s="60" t="n">
        <x:v>36</x:v>
      </x:c>
      <x:c r="B39" s="60" t="n">
        <x:v>62</x:v>
      </x:c>
      <x:c r="C39" s="62" t="str">
        <x:v>Votress</x:v>
      </x:c>
      <x:c r="D39" s="62" t="n">
        <x:v>63</x:v>
      </x:c>
      <x:c r="E39" s="62" t="str">
        <x:v>Sigilume</x:v>
      </x:c>
      <x:c r="F39" s="62" t="str">
        <x:v>ITEM</x:v>
      </x:c>
      <x:c r="G39" s="62" t="n">
        <x:v>30</x:v>
      </x:c>
      <x:c r="H39" s="62" t="str">
        <x:v>Iron Sigil</x:v>
      </x:c>
      <x:c r="I39" s="60" t="n">
        <x:f>VLOOKUP(B39,'Full Dex + Growth'!$A$4:$R$190,11,FALSE)</x:f>
        <x:v>320</x:v>
      </x:c>
      <x:c r="J39" s="60" t="n">
        <x:f>VLOOKUP(D39,'Full Dex + Growth'!$A$4:$R$190,11,FALSE)</x:f>
        <x:v>505</x:v>
      </x:c>
      <x:c r="K39" s="60" t="n">
        <x:f>J39-I39</x:f>
        <x:v>185</x:v>
      </x:c>
      <x:c r="L39" s="66" t="n">
        <x:f>VLOOKUP(B39,'Full Dex + Growth'!$A$4:$R$190,18,FALSE)</x:f>
        <x:v>2.11</x:v>
      </x:c>
      <x:c r="M39" s="66" t="n">
        <x:f>VLOOKUP(D39,'Full Dex + Growth'!$A$4:$R$190,18,FALSE)</x:f>
        <x:v>2.92</x:v>
      </x:c>
      <x:c r="N39" s="66" t="n">
        <x:f>M39-L39</x:f>
        <x:v>0.81</x:v>
      </x:c>
      <x:c r="O39" s="66" t="n">
        <x:f>N39*4</x:f>
        <x:v>3.24</x:v>
      </x:c>
      <x:c r="P39" s="66" t="n">
        <x:f>N39*10</x:f>
        <x:v>8.100000000000001</x:v>
      </x:c>
      <x:c r="Q39" s="60" t="str">
        <x:f>IF(N39&gt;=0.9,"High",IF(N39&gt;=0.5,"Moderate","Low"))</x:f>
        <x:v>Moderate</x:v>
      </x:c>
      <x:c r="R39" s="60" t="n">
        <x:v>30</x:v>
      </x:c>
      <x:c r="S39" s="60" t="str">
        <x:v>KEEP EXISTING</x:v>
      </x:c>
      <x:c r="T39" s="62" t="str">
        <x:f>IF(N39&gt;0,"Target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39" s="62" t="str">
        <x:v>Apply target base-stat minus source base-stat to each live stat once; no RNG at evolution.</x:v>
      </x:c>
      <x:c r="V39" s="62" t="str">
        <x:v>Regional_Dex_Progression_Learnsets_v3.xlsx</x:v>
      </x:c>
    </x:row>
    <x:row r="40">
      <x:c r="A40" s="60" t="n">
        <x:v>37</x:v>
      </x:c>
      <x:c r="B40" s="60" t="n">
        <x:v>62</x:v>
      </x:c>
      <x:c r="C40" s="62" t="str">
        <x:v>Votress</x:v>
      </x:c>
      <x:c r="D40" s="62" t="n">
        <x:v>64</x:v>
      </x:c>
      <x:c r="E40" s="62" t="str">
        <x:v>Sepulshade</x:v>
      </x:c>
      <x:c r="F40" s="62" t="str">
        <x:v>ITEM</x:v>
      </x:c>
      <x:c r="G40" s="62" t="n">
        <x:v>30</x:v>
      </x:c>
      <x:c r="H40" s="62" t="str">
        <x:v>Grave Salt</x:v>
      </x:c>
      <x:c r="I40" s="60" t="n">
        <x:f>VLOOKUP(B40,'Full Dex + Growth'!$A$4:$R$190,11,FALSE)</x:f>
        <x:v>320</x:v>
      </x:c>
      <x:c r="J40" s="60" t="n">
        <x:f>VLOOKUP(D40,'Full Dex + Growth'!$A$4:$R$190,11,FALSE)</x:f>
        <x:v>505</x:v>
      </x:c>
      <x:c r="K40" s="60" t="n">
        <x:f>J40-I40</x:f>
        <x:v>185</x:v>
      </x:c>
      <x:c r="L40" s="66" t="n">
        <x:f>VLOOKUP(B40,'Full Dex + Growth'!$A$4:$R$190,18,FALSE)</x:f>
        <x:v>2.11</x:v>
      </x:c>
      <x:c r="M40" s="66" t="n">
        <x:f>VLOOKUP(D40,'Full Dex + Growth'!$A$4:$R$190,18,FALSE)</x:f>
        <x:v>3.02</x:v>
      </x:c>
      <x:c r="N40" s="66" t="n">
        <x:f>M40-L40</x:f>
        <x:v>0.9100000000000001</x:v>
      </x:c>
      <x:c r="O40" s="66" t="n">
        <x:f>N40*4</x:f>
        <x:v>3.6400000000000006</x:v>
      </x:c>
      <x:c r="P40" s="66" t="n">
        <x:f>N40*10</x:f>
        <x:v>9.100000000000001</x:v>
      </x:c>
      <x:c r="Q40" s="60" t="str">
        <x:f>IF(N40&gt;=0.9,"High",IF(N40&gt;=0.5,"Moderate","Low"))</x:f>
        <x:v>High</x:v>
      </x:c>
      <x:c r="R40" s="60" t="n">
        <x:v>30</x:v>
      </x:c>
      <x:c r="S40" s="60" t="str">
        <x:v>KEEP EXISTING</x:v>
      </x:c>
      <x:c r="T40" s="62" t="str">
        <x:f>IF(N40&gt;0,"Target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0" s="62" t="str">
        <x:v>Apply target base-stat minus source base-stat to each live stat once; no RNG at evolution.</x:v>
      </x:c>
      <x:c r="V40" s="62" t="str">
        <x:v>Regional_Dex_Progression_Learnsets_v3.xlsx</x:v>
      </x:c>
    </x:row>
    <x:row r="41">
      <x:c r="A41" s="60" t="n">
        <x:v>38</x:v>
      </x:c>
      <x:c r="B41" s="60" t="n">
        <x:v>62</x:v>
      </x:c>
      <x:c r="C41" s="62" t="str">
        <x:v>Votress</x:v>
      </x:c>
      <x:c r="D41" s="62" t="n">
        <x:v>65</x:v>
      </x:c>
      <x:c r="E41" s="62" t="str">
        <x:v>Idolure</x:v>
      </x:c>
      <x:c r="F41" s="62" t="str">
        <x:v>ITEM</x:v>
      </x:c>
      <x:c r="G41" s="62" t="n">
        <x:v>30</x:v>
      </x:c>
      <x:c r="H41" s="62" t="str">
        <x:v>Gilded Idol</x:v>
      </x:c>
      <x:c r="I41" s="60" t="n">
        <x:f>VLOOKUP(B41,'Full Dex + Growth'!$A$4:$R$190,11,FALSE)</x:f>
        <x:v>320</x:v>
      </x:c>
      <x:c r="J41" s="60" t="n">
        <x:f>VLOOKUP(D41,'Full Dex + Growth'!$A$4:$R$190,11,FALSE)</x:f>
        <x:v>505</x:v>
      </x:c>
      <x:c r="K41" s="60" t="n">
        <x:f>J41-I41</x:f>
        <x:v>185</x:v>
      </x:c>
      <x:c r="L41" s="66" t="n">
        <x:f>VLOOKUP(B41,'Full Dex + Growth'!$A$4:$R$190,18,FALSE)</x:f>
        <x:v>2.11</x:v>
      </x:c>
      <x:c r="M41" s="66" t="n">
        <x:f>VLOOKUP(D41,'Full Dex + Growth'!$A$4:$R$190,18,FALSE)</x:f>
        <x:v>2.92</x:v>
      </x:c>
      <x:c r="N41" s="66" t="n">
        <x:f>M41-L41</x:f>
        <x:v>0.81</x:v>
      </x:c>
      <x:c r="O41" s="66" t="n">
        <x:f>N41*4</x:f>
        <x:v>3.24</x:v>
      </x:c>
      <x:c r="P41" s="66" t="n">
        <x:f>N41*10</x:f>
        <x:v>8.100000000000001</x:v>
      </x:c>
      <x:c r="Q41" s="60" t="str">
        <x:f>IF(N41&gt;=0.9,"High",IF(N41&gt;=0.5,"Moderate","Low"))</x:f>
        <x:v>Moderate</x:v>
      </x:c>
      <x:c r="R41" s="60" t="n">
        <x:v>30</x:v>
      </x:c>
      <x:c r="S41" s="60" t="str">
        <x:v>KEEP EXISTING</x:v>
      </x:c>
      <x:c r="T41" s="62" t="str">
        <x:f>IF(N41&gt;0,"Target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1" s="62" t="str">
        <x:v>Apply target base-stat minus source base-stat to each live stat once; no RNG at evolution.</x:v>
      </x:c>
      <x:c r="V41" s="62" t="str">
        <x:v>Regional_Dex_Progression_Learnsets_v3.xlsx</x:v>
      </x:c>
    </x:row>
    <x:row r="42">
      <x:c r="A42" s="60" t="n">
        <x:v>39</x:v>
      </x:c>
      <x:c r="B42" s="60" t="n">
        <x:v>66</x:v>
      </x:c>
      <x:c r="C42" s="62" t="str">
        <x:v>Brackhound</x:v>
      </x:c>
      <x:c r="D42" s="62" t="n">
        <x:v>67</x:v>
      </x:c>
      <x:c r="E42" s="62" t="str">
        <x:v>Mastigrim</x:v>
      </x:c>
      <x:c r="F42" s="62" t="str">
        <x:v>LEVEL</x:v>
      </x:c>
      <x:c r="G42" s="62" t="n">
        <x:v>24</x:v>
      </x:c>
      <x:c r="H42" s="62" t="str"/>
      <x:c r="I42" s="60" t="n">
        <x:f>VLOOKUP(B42,'Full Dex + Growth'!$A$4:$R$190,11,FALSE)</x:f>
        <x:v>305</x:v>
      </x:c>
      <x:c r="J42" s="60" t="n">
        <x:f>VLOOKUP(D42,'Full Dex + Growth'!$A$4:$R$190,11,FALSE)</x:f>
        <x:v>420</x:v>
      </x:c>
      <x:c r="K42" s="60" t="n">
        <x:f>J42-I42</x:f>
        <x:v>115</x:v>
      </x:c>
      <x:c r="L42" s="66" t="n">
        <x:f>VLOOKUP(B42,'Full Dex + Growth'!$A$4:$R$190,18,FALSE)</x:f>
        <x:v>2.06</x:v>
      </x:c>
      <x:c r="M42" s="66" t="n">
        <x:f>VLOOKUP(D42,'Full Dex + Growth'!$A$4:$R$190,18,FALSE)</x:f>
        <x:v>2.55</x:v>
      </x:c>
      <x:c r="N42" s="66" t="n">
        <x:f>M42-L42</x:f>
        <x:v>0.48999999999999977</x:v>
      </x:c>
      <x:c r="O42" s="66" t="n">
        <x:f>N42*4</x:f>
        <x:v>1.959999999999999</x:v>
      </x:c>
      <x:c r="P42" s="66" t="n">
        <x:f>N42*10</x:f>
        <x:v>4.899999999999998</x:v>
      </x:c>
      <x:c r="Q42" s="60" t="str">
        <x:f>IF(N42&gt;=0.9,"High",IF(N42&gt;=0.5,"Moderate","Low"))</x:f>
        <x:v>Low</x:v>
      </x:c>
      <x:c r="R42" s="60" t="n">
        <x:v>24</x:v>
      </x:c>
      <x:c r="S42" s="60" t="str">
        <x:v>KEEP EXISTING</x:v>
      </x:c>
      <x:c r="T42" s="62" t="str">
        <x:f>IF(N42&gt;0,"Target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2" s="62" t="str">
        <x:v>Apply target base-stat minus source base-stat to each live stat once; no RNG at evolution.</x:v>
      </x:c>
      <x:c r="V42" s="62" t="str">
        <x:v>Regional_Dex_Progression_Learnsets_v3.xlsx</x:v>
      </x:c>
    </x:row>
    <x:row r="43">
      <x:c r="A43" s="60" t="n">
        <x:v>40</x:v>
      </x:c>
      <x:c r="B43" s="60" t="n">
        <x:v>67</x:v>
      </x:c>
      <x:c r="C43" s="62" t="str">
        <x:v>Mastigrim</x:v>
      </x:c>
      <x:c r="D43" s="62" t="n">
        <x:v>68</x:v>
      </x:c>
      <x:c r="E43" s="62" t="str">
        <x:v>Cerberrood</x:v>
      </x:c>
      <x:c r="F43" s="62" t="str">
        <x:v>LEVEL</x:v>
      </x:c>
      <x:c r="G43" s="62" t="n">
        <x:v>42</x:v>
      </x:c>
      <x:c r="H43" s="62" t="str"/>
      <x:c r="I43" s="60" t="n">
        <x:f>VLOOKUP(B43,'Full Dex + Growth'!$A$4:$R$190,11,FALSE)</x:f>
        <x:v>420</x:v>
      </x:c>
      <x:c r="J43" s="60" t="n">
        <x:f>VLOOKUP(D43,'Full Dex + Growth'!$A$4:$R$190,11,FALSE)</x:f>
        <x:v>525</x:v>
      </x:c>
      <x:c r="K43" s="60" t="n">
        <x:f>J43-I43</x:f>
        <x:v>105</x:v>
      </x:c>
      <x:c r="L43" s="66" t="n">
        <x:f>VLOOKUP(B43,'Full Dex + Growth'!$A$4:$R$190,18,FALSE)</x:f>
        <x:v>2.55</x:v>
      </x:c>
      <x:c r="M43" s="66" t="n">
        <x:f>VLOOKUP(D43,'Full Dex + Growth'!$A$4:$R$190,18,FALSE)</x:f>
        <x:v>3.05</x:v>
      </x:c>
      <x:c r="N43" s="66" t="n">
        <x:f>M43-L43</x:f>
        <x:v>0.5</x:v>
      </x:c>
      <x:c r="O43" s="66" t="n">
        <x:f>N43*4</x:f>
        <x:v>2</x:v>
      </x:c>
      <x:c r="P43" s="66" t="n">
        <x:f>N43*10</x:f>
        <x:v>5</x:v>
      </x:c>
      <x:c r="Q43" s="60" t="str">
        <x:f>IF(N43&gt;=0.9,"High",IF(N43&gt;=0.5,"Moderate","Low"))</x:f>
        <x:v>Moderate</x:v>
      </x:c>
      <x:c r="R43" s="60" t="n">
        <x:v>42</x:v>
      </x:c>
      <x:c r="S43" s="60" t="str">
        <x:v>KEEP EXISTING</x:v>
      </x:c>
      <x:c r="T43" s="62" t="str">
        <x:f>IF(N43&gt;0,"Target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3" s="62" t="str">
        <x:v>Apply target base-stat minus source base-stat to each live stat once; no RNG at evolution.</x:v>
      </x:c>
      <x:c r="V43" s="62" t="str">
        <x:v>Regional_Dex_Progression_Learnsets_v3.xlsx</x:v>
      </x:c>
    </x:row>
    <x:row r="44">
      <x:c r="A44" s="60" t="n">
        <x:v>41</x:v>
      </x:c>
      <x:c r="B44" s="60" t="n">
        <x:v>70</x:v>
      </x:c>
      <x:c r="C44" s="62" t="str">
        <x:v>Cairant</x:v>
      </x:c>
      <x:c r="D44" s="62" t="n">
        <x:v>71</x:v>
      </x:c>
      <x:c r="E44" s="62" t="str">
        <x:v>Serapine</x:v>
      </x:c>
      <x:c r="F44" s="62" t="str">
        <x:v>STORY CHOICE</x:v>
      </x:c>
      <x:c r="G44" s="62" t="n">
        <x:v>32</x:v>
      </x:c>
      <x:c r="H44" s="62" t="str">
        <x:v>Celestial oath kept</x:v>
      </x:c>
      <x:c r="I44" s="60" t="n">
        <x:f>VLOOKUP(B44,'Full Dex + Growth'!$A$4:$R$190,11,FALSE)</x:f>
        <x:v>330</x:v>
      </x:c>
      <x:c r="J44" s="60" t="n">
        <x:f>VLOOKUP(D44,'Full Dex + Growth'!$A$4:$R$190,11,FALSE)</x:f>
        <x:v>540</x:v>
      </x:c>
      <x:c r="K44" s="60" t="n">
        <x:f>J44-I44</x:f>
        <x:v>210</x:v>
      </x:c>
      <x:c r="L44" s="66" t="n">
        <x:f>VLOOKUP(B44,'Full Dex + Growth'!$A$4:$R$190,18,FALSE)</x:f>
        <x:v>2.04</x:v>
      </x:c>
      <x:c r="M44" s="66" t="n">
        <x:f>VLOOKUP(D44,'Full Dex + Growth'!$A$4:$R$190,18,FALSE)</x:f>
        <x:v>2.98</x:v>
      </x:c>
      <x:c r="N44" s="66" t="n">
        <x:f>M44-L44</x:f>
        <x:v>0.94</x:v>
      </x:c>
      <x:c r="O44" s="66" t="n">
        <x:f>N44*4</x:f>
        <x:v>3.76</x:v>
      </x:c>
      <x:c r="P44" s="66" t="n">
        <x:f>N44*10</x:f>
        <x:v>9.399999999999999</x:v>
      </x:c>
      <x:c r="Q44" s="60" t="str">
        <x:f>IF(N44&gt;=0.9,"High",IF(N44&gt;=0.5,"Moderate","Low"))</x:f>
        <x:v>High</x:v>
      </x:c>
      <x:c r="R44" s="60" t="n">
        <x:v>32</x:v>
      </x:c>
      <x:c r="S44" s="60" t="str">
        <x:v>KEEP EXISTING</x:v>
      </x:c>
      <x:c r="T44" s="62" t="str">
        <x:f>IF(N44&gt;0,"Target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4" s="62" t="str">
        <x:v>Apply target base-stat minus source base-stat to each live stat once; no RNG at evolution.</x:v>
      </x:c>
      <x:c r="V44" s="62" t="str">
        <x:v>Regional_Dex_Progression_Learnsets_v3.xlsx</x:v>
      </x:c>
    </x:row>
    <x:row r="45">
      <x:c r="A45" s="60" t="n">
        <x:v>42</x:v>
      </x:c>
      <x:c r="B45" s="60" t="n">
        <x:v>70</x:v>
      </x:c>
      <x:c r="C45" s="62" t="str">
        <x:v>Cairant</x:v>
      </x:c>
      <x:c r="D45" s="62" t="n">
        <x:v>72</x:v>
      </x:c>
      <x:c r="E45" s="62" t="str">
        <x:v>Pandemne</x:v>
      </x:c>
      <x:c r="F45" s="62" t="str">
        <x:v>STORY CHOICE</x:v>
      </x:c>
      <x:c r="G45" s="62" t="n">
        <x:v>32</x:v>
      </x:c>
      <x:c r="H45" s="62" t="str">
        <x:v>Celestial oath broken</x:v>
      </x:c>
      <x:c r="I45" s="60" t="n">
        <x:f>VLOOKUP(B45,'Full Dex + Growth'!$A$4:$R$190,11,FALSE)</x:f>
        <x:v>330</x:v>
      </x:c>
      <x:c r="J45" s="60" t="n">
        <x:f>VLOOKUP(D45,'Full Dex + Growth'!$A$4:$R$190,11,FALSE)</x:f>
        <x:v>540</x:v>
      </x:c>
      <x:c r="K45" s="60" t="n">
        <x:f>J45-I45</x:f>
        <x:v>210</x:v>
      </x:c>
      <x:c r="L45" s="66" t="n">
        <x:f>VLOOKUP(B45,'Full Dex + Growth'!$A$4:$R$190,18,FALSE)</x:f>
        <x:v>2.04</x:v>
      </x:c>
      <x:c r="M45" s="66" t="n">
        <x:f>VLOOKUP(D45,'Full Dex + Growth'!$A$4:$R$190,18,FALSE)</x:f>
        <x:v>2.91</x:v>
      </x:c>
      <x:c r="N45" s="66" t="n">
        <x:f>M45-L45</x:f>
        <x:v>0.8700000000000001</x:v>
      </x:c>
      <x:c r="O45" s="66" t="n">
        <x:f>N45*4</x:f>
        <x:v>3.4800000000000004</x:v>
      </x:c>
      <x:c r="P45" s="66" t="n">
        <x:f>N45*10</x:f>
        <x:v>8.700000000000001</x:v>
      </x:c>
      <x:c r="Q45" s="60" t="str">
        <x:f>IF(N45&gt;=0.9,"High",IF(N45&gt;=0.5,"Moderate","Low"))</x:f>
        <x:v>Moderate</x:v>
      </x:c>
      <x:c r="R45" s="60" t="n">
        <x:v>32</x:v>
      </x:c>
      <x:c r="S45" s="60" t="str">
        <x:v>KEEP EXISTING</x:v>
      </x:c>
      <x:c r="T45" s="62" t="str">
        <x:f>IF(N45&gt;0,"Target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5" s="62" t="str">
        <x:v>Apply target base-stat minus source base-stat to each live stat once; no RNG at evolution.</x:v>
      </x:c>
      <x:c r="V45" s="62" t="str">
        <x:v>Regional_Dex_Progression_Learnsets_v3.xlsx</x:v>
      </x:c>
    </x:row>
    <x:row r="46">
      <x:c r="A46" s="60" t="n">
        <x:v>43</x:v>
      </x:c>
      <x:c r="B46" s="60" t="n">
        <x:v>73</x:v>
      </x:c>
      <x:c r="C46" s="62" t="str">
        <x:v>Flaggrim</x:v>
      </x:c>
      <x:c r="D46" s="62" t="n">
        <x:v>74</x:v>
      </x:c>
      <x:c r="E46" s="62" t="str">
        <x:v>Oriflamme</x:v>
      </x:c>
      <x:c r="F46" s="62" t="str">
        <x:v>STORY CHOICE</x:v>
      </x:c>
      <x:c r="G46" s="62" t="n">
        <x:v>30</x:v>
      </x:c>
      <x:c r="H46" s="62" t="str">
        <x:v>Raise banner</x:v>
      </x:c>
      <x:c r="I46" s="60" t="n">
        <x:f>VLOOKUP(B46,'Full Dex + Growth'!$A$4:$R$190,11,FALSE)</x:f>
        <x:v>310</x:v>
      </x:c>
      <x:c r="J46" s="60" t="n">
        <x:f>VLOOKUP(D46,'Full Dex + Growth'!$A$4:$R$190,11,FALSE)</x:f>
        <x:v>505</x:v>
      </x:c>
      <x:c r="K46" s="60" t="n">
        <x:f>J46-I46</x:f>
        <x:v>195</x:v>
      </x:c>
      <x:c r="L46" s="66" t="n">
        <x:f>VLOOKUP(B46,'Full Dex + Growth'!$A$4:$R$190,18,FALSE)</x:f>
        <x:v>2.11</x:v>
      </x:c>
      <x:c r="M46" s="66" t="n">
        <x:f>VLOOKUP(D46,'Full Dex + Growth'!$A$4:$R$190,18,FALSE)</x:f>
        <x:v>2.72</x:v>
      </x:c>
      <x:c r="N46" s="66" t="n">
        <x:f>M46-L46</x:f>
        <x:v>0.6100000000000003</x:v>
      </x:c>
      <x:c r="O46" s="66" t="n">
        <x:f>N46*4</x:f>
        <x:v>2.4400000000000013</x:v>
      </x:c>
      <x:c r="P46" s="66" t="n">
        <x:f>N46*10</x:f>
        <x:v>6.100000000000003</x:v>
      </x:c>
      <x:c r="Q46" s="60" t="str">
        <x:f>IF(N46&gt;=0.9,"High",IF(N46&gt;=0.5,"Moderate","Low"))</x:f>
        <x:v>Moderate</x:v>
      </x:c>
      <x:c r="R46" s="60" t="n">
        <x:v>30</x:v>
      </x:c>
      <x:c r="S46" s="60" t="str">
        <x:v>KEEP EXISTING</x:v>
      </x:c>
      <x:c r="T46" s="62" t="str">
        <x:f>IF(N46&gt;0,"Target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6" s="62" t="str">
        <x:v>Apply target base-stat minus source base-stat to each live stat once; no RNG at evolution.</x:v>
      </x:c>
      <x:c r="V46" s="62" t="str">
        <x:v>Regional_Dex_Progression_Learnsets_v3.xlsx</x:v>
      </x:c>
    </x:row>
    <x:row r="47">
      <x:c r="A47" s="60" t="n">
        <x:v>44</x:v>
      </x:c>
      <x:c r="B47" s="60" t="n">
        <x:v>73</x:v>
      </x:c>
      <x:c r="C47" s="62" t="str">
        <x:v>Flaggrim</x:v>
      </x:c>
      <x:c r="D47" s="62" t="n">
        <x:v>75</x:v>
      </x:c>
      <x:c r="E47" s="62" t="str">
        <x:v>Tattereign</x:v>
      </x:c>
      <x:c r="F47" s="62" t="str">
        <x:v>STORY CHOICE</x:v>
      </x:c>
      <x:c r="G47" s="62" t="n">
        <x:v>30</x:v>
      </x:c>
      <x:c r="H47" s="62" t="str">
        <x:v>Tear banner</x:v>
      </x:c>
      <x:c r="I47" s="60" t="n">
        <x:f>VLOOKUP(B47,'Full Dex + Growth'!$A$4:$R$190,11,FALSE)</x:f>
        <x:v>310</x:v>
      </x:c>
      <x:c r="J47" s="60" t="n">
        <x:f>VLOOKUP(D47,'Full Dex + Growth'!$A$4:$R$190,11,FALSE)</x:f>
        <x:v>505</x:v>
      </x:c>
      <x:c r="K47" s="60" t="n">
        <x:f>J47-I47</x:f>
        <x:v>195</x:v>
      </x:c>
      <x:c r="L47" s="66" t="n">
        <x:f>VLOOKUP(B47,'Full Dex + Growth'!$A$4:$R$190,18,FALSE)</x:f>
        <x:v>2.11</x:v>
      </x:c>
      <x:c r="M47" s="66" t="n">
        <x:f>VLOOKUP(D47,'Full Dex + Growth'!$A$4:$R$190,18,FALSE)</x:f>
        <x:v>2.91</x:v>
      </x:c>
      <x:c r="N47" s="66" t="n">
        <x:f>M47-L47</x:f>
        <x:v>0.8000000000000003</x:v>
      </x:c>
      <x:c r="O47" s="66" t="n">
        <x:f>N47*4</x:f>
        <x:v>3.200000000000001</x:v>
      </x:c>
      <x:c r="P47" s="66" t="n">
        <x:f>N47*10</x:f>
        <x:v>8.000000000000004</x:v>
      </x:c>
      <x:c r="Q47" s="60" t="str">
        <x:f>IF(N47&gt;=0.9,"High",IF(N47&gt;=0.5,"Moderate","Low"))</x:f>
        <x:v>Moderate</x:v>
      </x:c>
      <x:c r="R47" s="60" t="n">
        <x:v>30</x:v>
      </x:c>
      <x:c r="S47" s="60" t="str">
        <x:v>KEEP EXISTING</x:v>
      </x:c>
      <x:c r="T47" s="62" t="str">
        <x:f>IF(N47&gt;0,"Target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7" s="62" t="str">
        <x:v>Apply target base-stat minus source base-stat to each live stat once; no RNG at evolution.</x:v>
      </x:c>
      <x:c r="V47" s="62" t="str">
        <x:v>Regional_Dex_Progression_Learnsets_v3.xlsx</x:v>
      </x:c>
    </x:row>
    <x:row r="48">
      <x:c r="A48" s="60" t="n">
        <x:v>45</x:v>
      </x:c>
      <x:c r="B48" s="60" t="n">
        <x:v>77</x:v>
      </x:c>
      <x:c r="C48" s="62" t="str">
        <x:v>Saltinel</x:v>
      </x:c>
      <x:c r="D48" s="62" t="n">
        <x:v>78</x:v>
      </x:c>
      <x:c r="E48" s="62" t="str">
        <x:v>Bethlisk</x:v>
      </x:c>
      <x:c r="F48" s="62" t="str">
        <x:v>LEVEL</x:v>
      </x:c>
      <x:c r="G48" s="62" t="n">
        <x:v>26</x:v>
      </x:c>
      <x:c r="H48" s="62" t="str"/>
      <x:c r="I48" s="60" t="n">
        <x:f>VLOOKUP(B48,'Full Dex + Growth'!$A$4:$R$190,11,FALSE)</x:f>
        <x:v>305</x:v>
      </x:c>
      <x:c r="J48" s="60" t="n">
        <x:f>VLOOKUP(D48,'Full Dex + Growth'!$A$4:$R$190,11,FALSE)</x:f>
        <x:v>500</x:v>
      </x:c>
      <x:c r="K48" s="60" t="n">
        <x:f>J48-I48</x:f>
        <x:v>195</x:v>
      </x:c>
      <x:c r="L48" s="66" t="n">
        <x:f>VLOOKUP(B48,'Full Dex + Growth'!$A$4:$R$190,18,FALSE)</x:f>
        <x:v>2.15</x:v>
      </x:c>
      <x:c r="M48" s="66" t="n">
        <x:f>VLOOKUP(D48,'Full Dex + Growth'!$A$4:$R$190,18,FALSE)</x:f>
        <x:v>2.84</x:v>
      </x:c>
      <x:c r="N48" s="66" t="n">
        <x:f>M48-L48</x:f>
        <x:v>0.69</x:v>
      </x:c>
      <x:c r="O48" s="66" t="n">
        <x:f>N48*4</x:f>
        <x:v>2.76</x:v>
      </x:c>
      <x:c r="P48" s="66" t="n">
        <x:f>N48*10</x:f>
        <x:v>6.8999999999999995</x:v>
      </x:c>
      <x:c r="Q48" s="60" t="str">
        <x:f>IF(N48&gt;=0.9,"High",IF(N48&gt;=0.5,"Moderate","Low"))</x:f>
        <x:v>Moderate</x:v>
      </x:c>
      <x:c r="R48" s="60" t="n">
        <x:v>26</x:v>
      </x:c>
      <x:c r="S48" s="60" t="str">
        <x:v>KEEP EXISTING</x:v>
      </x:c>
      <x:c r="T48" s="62" t="str">
        <x:f>IF(N48&gt;0,"Target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8" s="62" t="str">
        <x:v>Apply target base-stat minus source base-stat to each live stat once; no RNG at evolution.</x:v>
      </x:c>
      <x:c r="V48" s="62" t="str">
        <x:v>Regional_Dex_Progression_Learnsets_v3.xlsx</x:v>
      </x:c>
    </x:row>
    <x:row r="49">
      <x:c r="A49" s="60" t="n">
        <x:v>46</x:v>
      </x:c>
      <x:c r="B49" s="60" t="n">
        <x:v>79</x:v>
      </x:c>
      <x:c r="C49" s="62" t="str">
        <x:v>Foamwhelp</x:v>
      </x:c>
      <x:c r="D49" s="62" t="n">
        <x:v>80</x:v>
      </x:c>
      <x:c r="E49" s="62" t="str">
        <x:v>Liontide</x:v>
      </x:c>
      <x:c r="F49" s="62" t="str">
        <x:v>LEVEL</x:v>
      </x:c>
      <x:c r="G49" s="62" t="n">
        <x:v>30</x:v>
      </x:c>
      <x:c r="H49" s="62" t="str"/>
      <x:c r="I49" s="60" t="n">
        <x:f>VLOOKUP(B49,'Full Dex + Growth'!$A$4:$R$190,11,FALSE)</x:f>
        <x:v>310</x:v>
      </x:c>
      <x:c r="J49" s="60" t="n">
        <x:f>VLOOKUP(D49,'Full Dex + Growth'!$A$4:$R$190,11,FALSE)</x:f>
        <x:v>525</x:v>
      </x:c>
      <x:c r="K49" s="60" t="n">
        <x:f>J49-I49</x:f>
        <x:v>215</x:v>
      </x:c>
      <x:c r="L49" s="66" t="n">
        <x:f>VLOOKUP(B49,'Full Dex + Growth'!$A$4:$R$190,18,FALSE)</x:f>
        <x:v>2.11</x:v>
      </x:c>
      <x:c r="M49" s="66" t="n">
        <x:f>VLOOKUP(D49,'Full Dex + Growth'!$A$4:$R$190,18,FALSE)</x:f>
        <x:v>3</x:v>
      </x:c>
      <x:c r="N49" s="66" t="n">
        <x:f>M49-L49</x:f>
        <x:v>0.8900000000000001</x:v>
      </x:c>
      <x:c r="O49" s="66" t="n">
        <x:f>N49*4</x:f>
        <x:v>3.5600000000000005</x:v>
      </x:c>
      <x:c r="P49" s="66" t="n">
        <x:f>N49*10</x:f>
        <x:v>8.900000000000002</x:v>
      </x:c>
      <x:c r="Q49" s="60" t="str">
        <x:f>IF(N49&gt;=0.9,"High",IF(N49&gt;=0.5,"Moderate","Low"))</x:f>
        <x:v>Moderate</x:v>
      </x:c>
      <x:c r="R49" s="60" t="n">
        <x:v>30</x:v>
      </x:c>
      <x:c r="S49" s="60" t="str">
        <x:v>KEEP EXISTING</x:v>
      </x:c>
      <x:c r="T49" s="62" t="str">
        <x:f>IF(N49&gt;0,"Target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49" s="62" t="str">
        <x:v>Apply target base-stat minus source base-stat to each live stat once; no RNG at evolution.</x:v>
      </x:c>
      <x:c r="V49" s="62" t="str">
        <x:v>Regional_Dex_Progression_Learnsets_v3.xlsx</x:v>
      </x:c>
    </x:row>
    <x:row r="50">
      <x:c r="A50" s="60" t="n">
        <x:v>47</x:v>
      </x:c>
      <x:c r="B50" s="60" t="n">
        <x:v>81</x:v>
      </x:c>
      <x:c r="C50" s="62" t="str">
        <x:v>Dunetuft</x:v>
      </x:c>
      <x:c r="D50" s="62" t="n">
        <x:v>82</x:v>
      </x:c>
      <x:c r="E50" s="62" t="str">
        <x:v>Accordacal</x:v>
      </x:c>
      <x:c r="F50" s="62" t="str">
        <x:v>LEVEL</x:v>
      </x:c>
      <x:c r="G50" s="62" t="n">
        <x:v>26</x:v>
      </x:c>
      <x:c r="H50" s="62" t="str"/>
      <x:c r="I50" s="60" t="n">
        <x:f>VLOOKUP(B50,'Full Dex + Growth'!$A$4:$R$190,11,FALSE)</x:f>
        <x:v>305</x:v>
      </x:c>
      <x:c r="J50" s="60" t="n">
        <x:f>VLOOKUP(D50,'Full Dex + Growth'!$A$4:$R$190,11,FALSE)</x:f>
        <x:v>520</x:v>
      </x:c>
      <x:c r="K50" s="60" t="n">
        <x:f>J50-I50</x:f>
        <x:v>215</x:v>
      </x:c>
      <x:c r="L50" s="66" t="n">
        <x:f>VLOOKUP(B50,'Full Dex + Growth'!$A$4:$R$190,18,FALSE)</x:f>
        <x:v>2.03</x:v>
      </x:c>
      <x:c r="M50" s="66" t="n">
        <x:f>VLOOKUP(D50,'Full Dex + Growth'!$A$4:$R$190,18,FALSE)</x:f>
        <x:v>2.77</x:v>
      </x:c>
      <x:c r="N50" s="66" t="n">
        <x:f>M50-L50</x:f>
        <x:v>0.7400000000000002</x:v>
      </x:c>
      <x:c r="O50" s="66" t="n">
        <x:f>N50*4</x:f>
        <x:v>2.960000000000001</x:v>
      </x:c>
      <x:c r="P50" s="66" t="n">
        <x:f>N50*10</x:f>
        <x:v>7.400000000000002</x:v>
      </x:c>
      <x:c r="Q50" s="60" t="str">
        <x:f>IF(N50&gt;=0.9,"High",IF(N50&gt;=0.5,"Moderate","Low"))</x:f>
        <x:v>Moderate</x:v>
      </x:c>
      <x:c r="R50" s="60" t="n">
        <x:v>26</x:v>
      </x:c>
      <x:c r="S50" s="60" t="str">
        <x:v>KEEP EXISTING</x:v>
      </x:c>
      <x:c r="T50" s="62" t="str">
        <x:f>IF(N50&gt;0,"Target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0" s="62" t="str">
        <x:v>Apply target base-stat minus source base-stat to each live stat once; no RNG at evolution.</x:v>
      </x:c>
      <x:c r="V50" s="62" t="str">
        <x:v>Regional_Dex_Progression_Learnsets_v3.xlsx</x:v>
      </x:c>
    </x:row>
    <x:row r="51">
      <x:c r="A51" s="60" t="n">
        <x:v>48</x:v>
      </x:c>
      <x:c r="B51" s="60" t="n">
        <x:v>83</x:v>
      </x:c>
      <x:c r="C51" s="62" t="str">
        <x:v>Rufram</x:v>
      </x:c>
      <x:c r="D51" s="62" t="n">
        <x:v>84</x:v>
      </x:c>
      <x:c r="E51" s="62" t="str">
        <x:v>Fordossa</x:v>
      </x:c>
      <x:c r="F51" s="62" t="str">
        <x:v>LEVEL</x:v>
      </x:c>
      <x:c r="G51" s="62" t="n">
        <x:v>26</x:v>
      </x:c>
      <x:c r="H51" s="62" t="str"/>
      <x:c r="I51" s="60" t="n">
        <x:f>VLOOKUP(B51,'Full Dex + Growth'!$A$4:$R$190,11,FALSE)</x:f>
        <x:v>315</x:v>
      </x:c>
      <x:c r="J51" s="60" t="n">
        <x:f>VLOOKUP(D51,'Full Dex + Growth'!$A$4:$R$190,11,FALSE)</x:f>
        <x:v>515</x:v>
      </x:c>
      <x:c r="K51" s="60" t="n">
        <x:f>J51-I51</x:f>
        <x:v>200</x:v>
      </x:c>
      <x:c r="L51" s="66" t="n">
        <x:f>VLOOKUP(B51,'Full Dex + Growth'!$A$4:$R$190,18,FALSE)</x:f>
        <x:v>2.06</x:v>
      </x:c>
      <x:c r="M51" s="66" t="n">
        <x:f>VLOOKUP(D51,'Full Dex + Growth'!$A$4:$R$190,18,FALSE)</x:f>
        <x:v>2.78</x:v>
      </x:c>
      <x:c r="N51" s="66" t="n">
        <x:f>M51-L51</x:f>
        <x:v>0.7199999999999998</x:v>
      </x:c>
      <x:c r="O51" s="66" t="n">
        <x:f>N51*4</x:f>
        <x:v>2.879999999999999</x:v>
      </x:c>
      <x:c r="P51" s="66" t="n">
        <x:f>N51*10</x:f>
        <x:v>7.1999999999999975</x:v>
      </x:c>
      <x:c r="Q51" s="60" t="str">
        <x:f>IF(N51&gt;=0.9,"High",IF(N51&gt;=0.5,"Moderate","Low"))</x:f>
        <x:v>Moderate</x:v>
      </x:c>
      <x:c r="R51" s="60" t="n">
        <x:v>26</x:v>
      </x:c>
      <x:c r="S51" s="60" t="str">
        <x:v>KEEP EXISTING</x:v>
      </x:c>
      <x:c r="T51" s="62" t="str">
        <x:f>IF(N51&gt;0,"Target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1" s="62" t="str">
        <x:v>Apply target base-stat minus source base-stat to each live stat once; no RNG at evolution.</x:v>
      </x:c>
      <x:c r="V51" s="62" t="str">
        <x:v>Regional_Dex_Progression_Learnsets_v3.xlsx</x:v>
      </x:c>
    </x:row>
    <x:row r="52">
      <x:c r="A52" s="60" t="n">
        <x:v>49</x:v>
      </x:c>
      <x:c r="B52" s="60" t="n">
        <x:v>85</x:v>
      </x:c>
      <x:c r="C52" s="62" t="str">
        <x:v>Tyrquill</x:v>
      </x:c>
      <x:c r="D52" s="62" t="n">
        <x:v>86</x:v>
      </x:c>
      <x:c r="E52" s="62" t="str">
        <x:v>Wraithrone</x:v>
      </x:c>
      <x:c r="F52" s="62" t="str">
        <x:v>LEVEL</x:v>
      </x:c>
      <x:c r="G52" s="62" t="n">
        <x:v>30</x:v>
      </x:c>
      <x:c r="H52" s="62" t="str"/>
      <x:c r="I52" s="60" t="n">
        <x:f>VLOOKUP(B52,'Full Dex + Growth'!$A$4:$R$190,11,FALSE)</x:f>
        <x:v>315</x:v>
      </x:c>
      <x:c r="J52" s="60" t="n">
        <x:f>VLOOKUP(D52,'Full Dex + Growth'!$A$4:$R$190,11,FALSE)</x:f>
        <x:v>520</x:v>
      </x:c>
      <x:c r="K52" s="60" t="n">
        <x:f>J52-I52</x:f>
        <x:v>205</x:v>
      </x:c>
      <x:c r="L52" s="66" t="n">
        <x:f>VLOOKUP(B52,'Full Dex + Growth'!$A$4:$R$190,18,FALSE)</x:f>
        <x:v>2.32</x:v>
      </x:c>
      <x:c r="M52" s="66" t="n">
        <x:f>VLOOKUP(D52,'Full Dex + Growth'!$A$4:$R$190,18,FALSE)</x:f>
        <x:v>3.04</x:v>
      </x:c>
      <x:c r="N52" s="66" t="n">
        <x:f>M52-L52</x:f>
        <x:v>0.7200000000000002</x:v>
      </x:c>
      <x:c r="O52" s="66" t="n">
        <x:f>N52*4</x:f>
        <x:v>2.880000000000001</x:v>
      </x:c>
      <x:c r="P52" s="66" t="n">
        <x:f>N52*10</x:f>
        <x:v>7.200000000000002</x:v>
      </x:c>
      <x:c r="Q52" s="60" t="str">
        <x:f>IF(N52&gt;=0.9,"High",IF(N52&gt;=0.5,"Moderate","Low"))</x:f>
        <x:v>Moderate</x:v>
      </x:c>
      <x:c r="R52" s="60" t="n">
        <x:v>30</x:v>
      </x:c>
      <x:c r="S52" s="60" t="str">
        <x:v>KEEP EXISTING</x:v>
      </x:c>
      <x:c r="T52" s="62" t="str">
        <x:f>IF(N52&gt;0,"Target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2" s="62" t="str">
        <x:v>Apply target base-stat minus source base-stat to each live stat once; no RNG at evolution.</x:v>
      </x:c>
      <x:c r="V52" s="62" t="str">
        <x:v>Regional_Dex_Progression_Learnsets_v3.xlsx</x:v>
      </x:c>
    </x:row>
    <x:row r="53">
      <x:c r="A53" s="60" t="n">
        <x:v>50</x:v>
      </x:c>
      <x:c r="B53" s="60" t="n">
        <x:v>87</x:v>
      </x:c>
      <x:c r="C53" s="62" t="str">
        <x:v>Regulet</x:v>
      </x:c>
      <x:c r="D53" s="62" t="n">
        <x:v>88</x:v>
      </x:c>
      <x:c r="E53" s="62" t="str">
        <x:v>Thronelorn</x:v>
      </x:c>
      <x:c r="F53" s="62" t="str">
        <x:v>LEVEL</x:v>
      </x:c>
      <x:c r="G53" s="62" t="n">
        <x:v>24</x:v>
      </x:c>
      <x:c r="H53" s="62" t="str"/>
      <x:c r="I53" s="60" t="n">
        <x:f>VLOOKUP(B53,'Full Dex + Growth'!$A$4:$R$190,11,FALSE)</x:f>
        <x:v>305</x:v>
      </x:c>
      <x:c r="J53" s="60" t="n">
        <x:f>VLOOKUP(D53,'Full Dex + Growth'!$A$4:$R$190,11,FALSE)</x:f>
        <x:v>405</x:v>
      </x:c>
      <x:c r="K53" s="60" t="n">
        <x:f>J53-I53</x:f>
        <x:v>100</x:v>
      </x:c>
      <x:c r="L53" s="66" t="n">
        <x:f>VLOOKUP(B53,'Full Dex + Growth'!$A$4:$R$190,18,FALSE)</x:f>
        <x:v>1.94</x:v>
      </x:c>
      <x:c r="M53" s="66" t="n">
        <x:f>VLOOKUP(D53,'Full Dex + Growth'!$A$4:$R$190,18,FALSE)</x:f>
        <x:v>2.35</x:v>
      </x:c>
      <x:c r="N53" s="66" t="n">
        <x:f>M53-L53</x:f>
        <x:v>0.41000000000000014</x:v>
      </x:c>
      <x:c r="O53" s="66" t="n">
        <x:f>N53*4</x:f>
        <x:v>1.6400000000000006</x:v>
      </x:c>
      <x:c r="P53" s="66" t="n">
        <x:f>N53*10</x:f>
        <x:v>4.100000000000001</x:v>
      </x:c>
      <x:c r="Q53" s="60" t="str">
        <x:f>IF(N53&gt;=0.9,"High",IF(N53&gt;=0.5,"Moderate","Low"))</x:f>
        <x:v>Low</x:v>
      </x:c>
      <x:c r="R53" s="60" t="n">
        <x:v>24</x:v>
      </x:c>
      <x:c r="S53" s="60" t="str">
        <x:v>KEEP EXISTING</x:v>
      </x:c>
      <x:c r="T53" s="62" t="str">
        <x:f>IF(N53&gt;0,"Target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3" s="62" t="str">
        <x:v>Apply target base-stat minus source base-stat to each live stat once; no RNG at evolution.</x:v>
      </x:c>
      <x:c r="V53" s="62" t="str">
        <x:v>Regional_Dex_Progression_Learnsets_v3.xlsx</x:v>
      </x:c>
    </x:row>
    <x:row r="54">
      <x:c r="A54" s="60" t="n">
        <x:v>51</x:v>
      </x:c>
      <x:c r="B54" s="60" t="n">
        <x:v>88</x:v>
      </x:c>
      <x:c r="C54" s="62" t="str">
        <x:v>Thronelorn</x:v>
      </x:c>
      <x:c r="D54" s="62" t="n">
        <x:v>89</x:v>
      </x:c>
      <x:c r="E54" s="62" t="str">
        <x:v>Cyprigon</x:v>
      </x:c>
      <x:c r="F54" s="62" t="str">
        <x:v>LEVEL</x:v>
      </x:c>
      <x:c r="G54" s="62" t="n">
        <x:v>42</x:v>
      </x:c>
      <x:c r="H54" s="62" t="str"/>
      <x:c r="I54" s="60" t="n">
        <x:f>VLOOKUP(B54,'Full Dex + Growth'!$A$4:$R$190,11,FALSE)</x:f>
        <x:v>405</x:v>
      </x:c>
      <x:c r="J54" s="60" t="n">
        <x:f>VLOOKUP(D54,'Full Dex + Growth'!$A$4:$R$190,11,FALSE)</x:f>
        <x:v>535</x:v>
      </x:c>
      <x:c r="K54" s="60" t="n">
        <x:f>J54-I54</x:f>
        <x:v>130</x:v>
      </x:c>
      <x:c r="L54" s="66" t="n">
        <x:f>VLOOKUP(B54,'Full Dex + Growth'!$A$4:$R$190,18,FALSE)</x:f>
        <x:v>2.35</x:v>
      </x:c>
      <x:c r="M54" s="66" t="n">
        <x:f>VLOOKUP(D54,'Full Dex + Growth'!$A$4:$R$190,18,FALSE)</x:f>
        <x:v>2.8</x:v>
      </x:c>
      <x:c r="N54" s="66" t="n">
        <x:f>M54-L54</x:f>
        <x:v>0.44999999999999973</x:v>
      </x:c>
      <x:c r="O54" s="66" t="n">
        <x:f>N54*4</x:f>
        <x:v>1.799999999999999</x:v>
      </x:c>
      <x:c r="P54" s="66" t="n">
        <x:f>N54*10</x:f>
        <x:v>4.499999999999997</x:v>
      </x:c>
      <x:c r="Q54" s="60" t="str">
        <x:f>IF(N54&gt;=0.9,"High",IF(N54&gt;=0.5,"Moderate","Low"))</x:f>
        <x:v>Low</x:v>
      </x:c>
      <x:c r="R54" s="60" t="n">
        <x:v>42</x:v>
      </x:c>
      <x:c r="S54" s="60" t="str">
        <x:v>KEEP EXISTING</x:v>
      </x:c>
      <x:c r="T54" s="62" t="str">
        <x:f>IF(N54&gt;0,"Target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4" s="62" t="str">
        <x:v>Apply target base-stat minus source base-stat to each live stat once; no RNG at evolution.</x:v>
      </x:c>
      <x:c r="V54" s="62" t="str">
        <x:v>Regional_Dex_Progression_Learnsets_v3.xlsx</x:v>
      </x:c>
    </x:row>
    <x:row r="55">
      <x:c r="A55" s="60" t="n">
        <x:v>52</x:v>
      </x:c>
      <x:c r="B55" s="60" t="n">
        <x:v>90</x:v>
      </x:c>
      <x:c r="C55" s="62" t="str">
        <x:v>Oathlet</x:v>
      </x:c>
      <x:c r="D55" s="62" t="n">
        <x:v>91</x:v>
      </x:c>
      <x:c r="E55" s="62" t="str">
        <x:v>Parlethorn</x:v>
      </x:c>
      <x:c r="F55" s="62" t="str">
        <x:v>LEVEL</x:v>
      </x:c>
      <x:c r="G55" s="62" t="n">
        <x:v>26</x:v>
      </x:c>
      <x:c r="H55" s="62" t="str"/>
      <x:c r="I55" s="60" t="n">
        <x:f>VLOOKUP(B55,'Full Dex + Growth'!$A$4:$R$190,11,FALSE)</x:f>
        <x:v>300</x:v>
      </x:c>
      <x:c r="J55" s="60" t="n">
        <x:f>VLOOKUP(D55,'Full Dex + Growth'!$A$4:$R$190,11,FALSE)</x:f>
        <x:v>505</x:v>
      </x:c>
      <x:c r="K55" s="60" t="n">
        <x:f>J55-I55</x:f>
        <x:v>205</x:v>
      </x:c>
      <x:c r="L55" s="66" t="n">
        <x:f>VLOOKUP(B55,'Full Dex + Growth'!$A$4:$R$190,18,FALSE)</x:f>
        <x:v>2.06</x:v>
      </x:c>
      <x:c r="M55" s="66" t="n">
        <x:f>VLOOKUP(D55,'Full Dex + Growth'!$A$4:$R$190,18,FALSE)</x:f>
        <x:v>3.36</x:v>
      </x:c>
      <x:c r="N55" s="66" t="n">
        <x:f>M55-L55</x:f>
        <x:v>1.2999999999999998</x:v>
      </x:c>
      <x:c r="O55" s="66" t="n">
        <x:f>N55*4</x:f>
        <x:v>5.199999999999999</x:v>
      </x:c>
      <x:c r="P55" s="66" t="n">
        <x:f>N55*10</x:f>
        <x:v>12.999999999999998</x:v>
      </x:c>
      <x:c r="Q55" s="60" t="str">
        <x:f>IF(N55&gt;=0.9,"High",IF(N55&gt;=0.5,"Moderate","Low"))</x:f>
        <x:v>High</x:v>
      </x:c>
      <x:c r="R55" s="60" t="n">
        <x:v>26</x:v>
      </x:c>
      <x:c r="S55" s="60" t="str">
        <x:v>KEEP EXISTING</x:v>
      </x:c>
      <x:c r="T55" s="62" t="str">
        <x:f>IF(N55&gt;0,"Target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5" s="62" t="str">
        <x:v>Apply target base-stat minus source base-stat to each live stat once; no RNG at evolution.</x:v>
      </x:c>
      <x:c r="V55" s="62" t="str">
        <x:v>Regional_Dex_Progression_Learnsets_v3.xlsx</x:v>
      </x:c>
    </x:row>
    <x:row r="56">
      <x:c r="A56" s="60" t="n">
        <x:v>53</x:v>
      </x:c>
      <x:c r="B56" s="60" t="n">
        <x:v>92</x:v>
      </x:c>
      <x:c r="C56" s="62" t="str">
        <x:v>Jerbune</x:v>
      </x:c>
      <x:c r="D56" s="62" t="n">
        <x:v>93</x:v>
      </x:c>
      <x:c r="E56" s="62" t="str">
        <x:v>Concordune</x:v>
      </x:c>
      <x:c r="F56" s="62" t="str">
        <x:v>STORY CHOICE</x:v>
      </x:c>
      <x:c r="G56" s="62" t="n">
        <x:v>30</x:v>
      </x:c>
      <x:c r="H56" s="62" t="str">
        <x:v>Concord path</x:v>
      </x:c>
      <x:c r="I56" s="60" t="n">
        <x:f>VLOOKUP(B56,'Full Dex + Growth'!$A$4:$R$190,11,FALSE)</x:f>
        <x:v>305</x:v>
      </x:c>
      <x:c r="J56" s="60" t="n">
        <x:f>VLOOKUP(D56,'Full Dex + Growth'!$A$4:$R$190,11,FALSE)</x:f>
        <x:v>500</x:v>
      </x:c>
      <x:c r="K56" s="60" t="n">
        <x:f>J56-I56</x:f>
        <x:v>195</x:v>
      </x:c>
      <x:c r="L56" s="66" t="n">
        <x:f>VLOOKUP(B56,'Full Dex + Growth'!$A$4:$R$190,18,FALSE)</x:f>
        <x:v>2.16</x:v>
      </x:c>
      <x:c r="M56" s="66" t="n">
        <x:f>VLOOKUP(D56,'Full Dex + Growth'!$A$4:$R$190,18,FALSE)</x:f>
        <x:v>2.82</x:v>
      </x:c>
      <x:c r="N56" s="66" t="n">
        <x:f>M56-L56</x:f>
        <x:v>0.6599999999999997</x:v>
      </x:c>
      <x:c r="O56" s="66" t="n">
        <x:f>N56*4</x:f>
        <x:v>2.639999999999999</x:v>
      </x:c>
      <x:c r="P56" s="66" t="n">
        <x:f>N56*10</x:f>
        <x:v>6.599999999999997</x:v>
      </x:c>
      <x:c r="Q56" s="60" t="str">
        <x:f>IF(N56&gt;=0.9,"High",IF(N56&gt;=0.5,"Moderate","Low"))</x:f>
        <x:v>Moderate</x:v>
      </x:c>
      <x:c r="R56" s="60" t="n">
        <x:v>30</x:v>
      </x:c>
      <x:c r="S56" s="60" t="str">
        <x:v>KEEP EXISTING</x:v>
      </x:c>
      <x:c r="T56" s="62" t="str">
        <x:f>IF(N56&gt;0,"Target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6" s="62" t="str">
        <x:v>Apply target base-stat minus source base-stat to each live stat once; no RNG at evolution.</x:v>
      </x:c>
      <x:c r="V56" s="62" t="str">
        <x:v>Regional_Dex_Progression_Learnsets_v3.xlsx</x:v>
      </x:c>
    </x:row>
    <x:row r="57">
      <x:c r="A57" s="60" t="n">
        <x:v>54</x:v>
      </x:c>
      <x:c r="B57" s="60" t="n">
        <x:v>92</x:v>
      </x:c>
      <x:c r="C57" s="62" t="str">
        <x:v>Jerbune</x:v>
      </x:c>
      <x:c r="D57" s="62" t="n">
        <x:v>94</x:v>
      </x:c>
      <x:c r="E57" s="62" t="str">
        <x:v>Sundune</x:v>
      </x:c>
      <x:c r="F57" s="62" t="str">
        <x:v>STORY CHOICE</x:v>
      </x:c>
      <x:c r="G57" s="62" t="n">
        <x:v>30</x:v>
      </x:c>
      <x:c r="H57" s="62" t="str">
        <x:v>Sunder path</x:v>
      </x:c>
      <x:c r="I57" s="60" t="n">
        <x:f>VLOOKUP(B57,'Full Dex + Growth'!$A$4:$R$190,11,FALSE)</x:f>
        <x:v>305</x:v>
      </x:c>
      <x:c r="J57" s="60" t="n">
        <x:f>VLOOKUP(D57,'Full Dex + Growth'!$A$4:$R$190,11,FALSE)</x:f>
        <x:v>500</x:v>
      </x:c>
      <x:c r="K57" s="60" t="n">
        <x:f>J57-I57</x:f>
        <x:v>195</x:v>
      </x:c>
      <x:c r="L57" s="66" t="n">
        <x:f>VLOOKUP(B57,'Full Dex + Growth'!$A$4:$R$190,18,FALSE)</x:f>
        <x:v>2.16</x:v>
      </x:c>
      <x:c r="M57" s="66" t="n">
        <x:f>VLOOKUP(D57,'Full Dex + Growth'!$A$4:$R$190,18,FALSE)</x:f>
        <x:v>3.02</x:v>
      </x:c>
      <x:c r="N57" s="66" t="n">
        <x:f>M57-L57</x:f>
        <x:v>0.8599999999999999</x:v>
      </x:c>
      <x:c r="O57" s="66" t="n">
        <x:f>N57*4</x:f>
        <x:v>3.4399999999999995</x:v>
      </x:c>
      <x:c r="P57" s="66" t="n">
        <x:f>N57*10</x:f>
        <x:v>8.599999999999998</x:v>
      </x:c>
      <x:c r="Q57" s="60" t="str">
        <x:f>IF(N57&gt;=0.9,"High",IF(N57&gt;=0.5,"Moderate","Low"))</x:f>
        <x:v>Moderate</x:v>
      </x:c>
      <x:c r="R57" s="60" t="n">
        <x:v>30</x:v>
      </x:c>
      <x:c r="S57" s="60" t="str">
        <x:v>KEEP EXISTING</x:v>
      </x:c>
      <x:c r="T57" s="62" t="str">
        <x:f>IF(N57&gt;0,"Target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7" s="62" t="str">
        <x:v>Apply target base-stat minus source base-stat to each live stat once; no RNG at evolution.</x:v>
      </x:c>
      <x:c r="V57" s="62" t="str">
        <x:v>Regional_Dex_Progression_Learnsets_v3.xlsx</x:v>
      </x:c>
    </x:row>
    <x:row r="58">
      <x:c r="A58" s="60" t="n">
        <x:v>55</x:v>
      </x:c>
      <x:c r="B58" s="60" t="n">
        <x:v>95</x:v>
      </x:c>
      <x:c r="C58" s="62" t="str">
        <x:v>Pennmot</x:v>
      </x:c>
      <x:c r="D58" s="62" t="n">
        <x:v>96</x:v>
      </x:c>
      <x:c r="E58" s="62" t="str">
        <x:v>Grudgemont</x:v>
      </x:c>
      <x:c r="F58" s="62" t="str">
        <x:v>LEVEL</x:v>
      </x:c>
      <x:c r="G58" s="62" t="n">
        <x:v>26</x:v>
      </x:c>
      <x:c r="H58" s="62" t="str"/>
      <x:c r="I58" s="60" t="n">
        <x:f>VLOOKUP(B58,'Full Dex + Growth'!$A$4:$R$190,11,FALSE)</x:f>
        <x:v>305</x:v>
      </x:c>
      <x:c r="J58" s="60" t="n">
        <x:f>VLOOKUP(D58,'Full Dex + Growth'!$A$4:$R$190,11,FALSE)</x:f>
        <x:v>510</x:v>
      </x:c>
      <x:c r="K58" s="60" t="n">
        <x:f>J58-I58</x:f>
        <x:v>205</x:v>
      </x:c>
      <x:c r="L58" s="66" t="n">
        <x:f>VLOOKUP(B58,'Full Dex + Growth'!$A$4:$R$190,18,FALSE)</x:f>
        <x:v>2.1</x:v>
      </x:c>
      <x:c r="M58" s="66" t="n">
        <x:f>VLOOKUP(D58,'Full Dex + Growth'!$A$4:$R$190,18,FALSE)</x:f>
        <x:v>3.01</x:v>
      </x:c>
      <x:c r="N58" s="66" t="n">
        <x:f>M58-L58</x:f>
        <x:v>0.9099999999999997</x:v>
      </x:c>
      <x:c r="O58" s="66" t="n">
        <x:f>N58*4</x:f>
        <x:v>3.639999999999999</x:v>
      </x:c>
      <x:c r="P58" s="66" t="n">
        <x:f>N58*10</x:f>
        <x:v>9.099999999999998</x:v>
      </x:c>
      <x:c r="Q58" s="60" t="str">
        <x:f>IF(N58&gt;=0.9,"High",IF(N58&gt;=0.5,"Moderate","Low"))</x:f>
        <x:v>High</x:v>
      </x:c>
      <x:c r="R58" s="60" t="n">
        <x:v>26</x:v>
      </x:c>
      <x:c r="S58" s="60" t="str">
        <x:v>KEEP EXISTING</x:v>
      </x:c>
      <x:c r="T58" s="62" t="str">
        <x:f>IF(N58&gt;0,"Target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8" s="62" t="str">
        <x:v>Apply target base-stat minus source base-stat to each live stat once; no RNG at evolution.</x:v>
      </x:c>
      <x:c r="V58" s="62" t="str">
        <x:v>Regional_Dex_Progression_Learnsets_v3.xlsx</x:v>
      </x:c>
    </x:row>
    <x:row r="59">
      <x:c r="A59" s="60" t="n">
        <x:v>56</x:v>
      </x:c>
      <x:c r="B59" s="60" t="n">
        <x:v>97</x:v>
      </x:c>
      <x:c r="C59" s="62" t="str">
        <x:v>Courstoat</x:v>
      </x:c>
      <x:c r="D59" s="62" t="n">
        <x:v>98</x:v>
      </x:c>
      <x:c r="E59" s="62" t="str">
        <x:v>Reversire</x:v>
      </x:c>
      <x:c r="F59" s="62" t="str">
        <x:v>LEVEL</x:v>
      </x:c>
      <x:c r="G59" s="62" t="n">
        <x:v>26</x:v>
      </x:c>
      <x:c r="H59" s="62" t="str"/>
      <x:c r="I59" s="60" t="n">
        <x:f>VLOOKUP(B59,'Full Dex + Growth'!$A$4:$R$190,11,FALSE)</x:f>
        <x:v>295</x:v>
      </x:c>
      <x:c r="J59" s="60" t="n">
        <x:f>VLOOKUP(D59,'Full Dex + Growth'!$A$4:$R$190,11,FALSE)</x:f>
        <x:v>505</x:v>
      </x:c>
      <x:c r="K59" s="60" t="n">
        <x:f>J59-I59</x:f>
        <x:v>210</x:v>
      </x:c>
      <x:c r="L59" s="66" t="n">
        <x:f>VLOOKUP(B59,'Full Dex + Growth'!$A$4:$R$190,18,FALSE)</x:f>
        <x:v>2.04</x:v>
      </x:c>
      <x:c r="M59" s="66" t="n">
        <x:f>VLOOKUP(D59,'Full Dex + Growth'!$A$4:$R$190,18,FALSE)</x:f>
        <x:v>2.86</x:v>
      </x:c>
      <x:c r="N59" s="66" t="n">
        <x:f>M59-L59</x:f>
        <x:v>0.8199999999999998</x:v>
      </x:c>
      <x:c r="O59" s="66" t="n">
        <x:f>N59*4</x:f>
        <x:v>3.2799999999999994</x:v>
      </x:c>
      <x:c r="P59" s="66" t="n">
        <x:f>N59*10</x:f>
        <x:v>8.2</x:v>
      </x:c>
      <x:c r="Q59" s="60" t="str">
        <x:f>IF(N59&gt;=0.9,"High",IF(N59&gt;=0.5,"Moderate","Low"))</x:f>
        <x:v>Moderate</x:v>
      </x:c>
      <x:c r="R59" s="60" t="n">
        <x:v>26</x:v>
      </x:c>
      <x:c r="S59" s="60" t="str">
        <x:v>KEEP EXISTING</x:v>
      </x:c>
      <x:c r="T59" s="62" t="str">
        <x:f>IF(N59&gt;0,"Target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59" s="62" t="str">
        <x:v>Apply target base-stat minus source base-stat to each live stat once; no RNG at evolution.</x:v>
      </x:c>
      <x:c r="V59" s="62" t="str">
        <x:v>Regional_Dex_Progression_Learnsets_v3.xlsx</x:v>
      </x:c>
    </x:row>
    <x:row r="60">
      <x:c r="A60" s="60" t="n">
        <x:v>57</x:v>
      </x:c>
      <x:c r="B60" s="60" t="n">
        <x:v>99</x:v>
      </x:c>
      <x:c r="C60" s="62" t="str">
        <x:v>Whisbat</x:v>
      </x:c>
      <x:c r="D60" s="62" t="n">
        <x:v>100</x:v>
      </x:c>
      <x:c r="E60" s="62" t="str">
        <x:v>Pactecho</x:v>
      </x:c>
      <x:c r="F60" s="62" t="str">
        <x:v>LEVEL</x:v>
      </x:c>
      <x:c r="G60" s="62" t="n">
        <x:v>26</x:v>
      </x:c>
      <x:c r="H60" s="62" t="str"/>
      <x:c r="I60" s="60" t="n">
        <x:f>VLOOKUP(B60,'Full Dex + Growth'!$A$4:$R$190,11,FALSE)</x:f>
        <x:v>290</x:v>
      </x:c>
      <x:c r="J60" s="60" t="n">
        <x:f>VLOOKUP(D60,'Full Dex + Growth'!$A$4:$R$190,11,FALSE)</x:f>
        <x:v>495</x:v>
      </x:c>
      <x:c r="K60" s="60" t="n">
        <x:f>J60-I60</x:f>
        <x:v>205</x:v>
      </x:c>
      <x:c r="L60" s="66" t="n">
        <x:f>VLOOKUP(B60,'Full Dex + Growth'!$A$4:$R$190,18,FALSE)</x:f>
        <x:v>2.1</x:v>
      </x:c>
      <x:c r="M60" s="66" t="n">
        <x:f>VLOOKUP(D60,'Full Dex + Growth'!$A$4:$R$190,18,FALSE)</x:f>
        <x:v>2.87</x:v>
      </x:c>
      <x:c r="N60" s="66" t="n">
        <x:f>M60-L60</x:f>
        <x:v>0.77</x:v>
      </x:c>
      <x:c r="O60" s="66" t="n">
        <x:f>N60*4</x:f>
        <x:v>3.08</x:v>
      </x:c>
      <x:c r="P60" s="66" t="n">
        <x:f>N60*10</x:f>
        <x:v>7.7</x:v>
      </x:c>
      <x:c r="Q60" s="60" t="str">
        <x:f>IF(N60&gt;=0.9,"High",IF(N60&gt;=0.5,"Moderate","Low"))</x:f>
        <x:v>Moderate</x:v>
      </x:c>
      <x:c r="R60" s="60" t="n">
        <x:v>26</x:v>
      </x:c>
      <x:c r="S60" s="60" t="str">
        <x:v>KEEP EXISTING</x:v>
      </x:c>
      <x:c r="T60" s="62" t="str">
        <x:f>IF(N60&gt;0,"Target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0" s="62" t="str">
        <x:v>Apply target base-stat minus source base-stat to each live stat once; no RNG at evolution.</x:v>
      </x:c>
      <x:c r="V60" s="62" t="str">
        <x:v>Regional_Dex_Progression_Learnsets_v3.xlsx</x:v>
      </x:c>
    </x:row>
    <x:row r="61">
      <x:c r="A61" s="60" t="n">
        <x:v>58</x:v>
      </x:c>
      <x:c r="B61" s="60" t="n">
        <x:v>101</x:v>
      </x:c>
      <x:c r="C61" s="62" t="str">
        <x:v>Limbud</x:v>
      </x:c>
      <x:c r="D61" s="62" t="n">
        <x:v>102</x:v>
      </x:c>
      <x:c r="E61" s="62" t="str">
        <x:v>Laureveil</x:v>
      </x:c>
      <x:c r="F61" s="62" t="str">
        <x:v>LEVEL</x:v>
      </x:c>
      <x:c r="G61" s="62" t="n">
        <x:v>26</x:v>
      </x:c>
      <x:c r="H61" s="62" t="str"/>
      <x:c r="I61" s="60" t="n">
        <x:f>VLOOKUP(B61,'Full Dex + Growth'!$A$4:$R$190,11,FALSE)</x:f>
        <x:v>300</x:v>
      </x:c>
      <x:c r="J61" s="60" t="n">
        <x:f>VLOOKUP(D61,'Full Dex + Growth'!$A$4:$R$190,11,FALSE)</x:f>
        <x:v>500</x:v>
      </x:c>
      <x:c r="K61" s="60" t="n">
        <x:f>J61-I61</x:f>
        <x:v>200</x:v>
      </x:c>
      <x:c r="L61" s="66" t="n">
        <x:f>VLOOKUP(B61,'Full Dex + Growth'!$A$4:$R$190,18,FALSE)</x:f>
        <x:v>2.08</x:v>
      </x:c>
      <x:c r="M61" s="66" t="n">
        <x:f>VLOOKUP(D61,'Full Dex + Growth'!$A$4:$R$190,18,FALSE)</x:f>
        <x:v>3.27</x:v>
      </x:c>
      <x:c r="N61" s="66" t="n">
        <x:f>M61-L61</x:f>
        <x:v>1.19</x:v>
      </x:c>
      <x:c r="O61" s="66" t="n">
        <x:f>N61*4</x:f>
        <x:v>4.76</x:v>
      </x:c>
      <x:c r="P61" s="66" t="n">
        <x:f>N61*10</x:f>
        <x:v>11.899999999999999</x:v>
      </x:c>
      <x:c r="Q61" s="60" t="str">
        <x:f>IF(N61&gt;=0.9,"High",IF(N61&gt;=0.5,"Moderate","Low"))</x:f>
        <x:v>High</x:v>
      </x:c>
      <x:c r="R61" s="60" t="n">
        <x:v>26</x:v>
      </x:c>
      <x:c r="S61" s="60" t="str">
        <x:v>KEEP EXISTING</x:v>
      </x:c>
      <x:c r="T61" s="62" t="str">
        <x:f>IF(N61&gt;0,"Target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1" s="62" t="str">
        <x:v>Apply target base-stat minus source base-stat to each live stat once; no RNG at evolution.</x:v>
      </x:c>
      <x:c r="V61" s="62" t="str">
        <x:v>Regional_Dex_Progression_Learnsets_v3.xlsx</x:v>
      </x:c>
    </x:row>
    <x:row r="62">
      <x:c r="A62" s="60" t="n">
        <x:v>59</x:v>
      </x:c>
      <x:c r="B62" s="60" t="n">
        <x:v>103</x:v>
      </x:c>
      <x:c r="C62" s="62" t="str">
        <x:v>Amplet</x:v>
      </x:c>
      <x:c r="D62" s="62" t="n">
        <x:v>104</x:v>
      </x:c>
      <x:c r="E62" s="62" t="str">
        <x:v>Vortamor</x:v>
      </x:c>
      <x:c r="F62" s="62" t="str">
        <x:v>LEVEL</x:v>
      </x:c>
      <x:c r="G62" s="62" t="n">
        <x:v>26</x:v>
      </x:c>
      <x:c r="H62" s="62" t="str"/>
      <x:c r="I62" s="60" t="n">
        <x:f>VLOOKUP(B62,'Full Dex + Growth'!$A$4:$R$190,11,FALSE)</x:f>
        <x:v>295</x:v>
      </x:c>
      <x:c r="J62" s="60" t="n">
        <x:f>VLOOKUP(D62,'Full Dex + Growth'!$A$4:$R$190,11,FALSE)</x:f>
        <x:v>510</x:v>
      </x:c>
      <x:c r="K62" s="60" t="n">
        <x:f>J62-I62</x:f>
        <x:v>215</x:v>
      </x:c>
      <x:c r="L62" s="66" t="n">
        <x:f>VLOOKUP(B62,'Full Dex + Growth'!$A$4:$R$190,18,FALSE)</x:f>
        <x:v>2.18</x:v>
      </x:c>
      <x:c r="M62" s="66" t="n">
        <x:f>VLOOKUP(D62,'Full Dex + Growth'!$A$4:$R$190,18,FALSE)</x:f>
        <x:v>3.13</x:v>
      </x:c>
      <x:c r="N62" s="66" t="n">
        <x:f>M62-L62</x:f>
        <x:v>0.9499999999999997</x:v>
      </x:c>
      <x:c r="O62" s="66" t="n">
        <x:f>N62*4</x:f>
        <x:v>3.799999999999999</x:v>
      </x:c>
      <x:c r="P62" s="66" t="n">
        <x:f>N62*10</x:f>
        <x:v>9.499999999999996</x:v>
      </x:c>
      <x:c r="Q62" s="60" t="str">
        <x:f>IF(N62&gt;=0.9,"High",IF(N62&gt;=0.5,"Moderate","Low"))</x:f>
        <x:v>High</x:v>
      </x:c>
      <x:c r="R62" s="60" t="n">
        <x:v>26</x:v>
      </x:c>
      <x:c r="S62" s="60" t="str">
        <x:v>KEEP EXISTING</x:v>
      </x:c>
      <x:c r="T62" s="62" t="str">
        <x:f>IF(N62&gt;0,"Target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2" s="62" t="str">
        <x:v>Apply target base-stat minus source base-stat to each live stat once; no RNG at evolution.</x:v>
      </x:c>
      <x:c r="V62" s="62" t="str">
        <x:v>Regional_Dex_Progression_Learnsets_v3.xlsx</x:v>
      </x:c>
    </x:row>
    <x:row r="63">
      <x:c r="A63" s="60" t="n">
        <x:v>60</x:v>
      </x:c>
      <x:c r="B63" s="60" t="n">
        <x:v>105</x:v>
      </x:c>
      <x:c r="C63" s="62" t="str">
        <x:v>Nibblub</x:v>
      </x:c>
      <x:c r="D63" s="62" t="n">
        <x:v>106</x:v>
      </x:c>
      <x:c r="E63" s="62" t="str">
        <x:v>Gourbog</x:v>
      </x:c>
      <x:c r="F63" s="62" t="str">
        <x:v>LEVEL</x:v>
      </x:c>
      <x:c r="G63" s="62" t="n">
        <x:v>26</x:v>
      </x:c>
      <x:c r="H63" s="62" t="str"/>
      <x:c r="I63" s="60" t="n">
        <x:f>VLOOKUP(B63,'Full Dex + Growth'!$A$4:$R$190,11,FALSE)</x:f>
        <x:v>305</x:v>
      </x:c>
      <x:c r="J63" s="60" t="n">
        <x:f>VLOOKUP(D63,'Full Dex + Growth'!$A$4:$R$190,11,FALSE)</x:f>
        <x:v>515</x:v>
      </x:c>
      <x:c r="K63" s="60" t="n">
        <x:f>J63-I63</x:f>
        <x:v>210</x:v>
      </x:c>
      <x:c r="L63" s="66" t="n">
        <x:f>VLOOKUP(B63,'Full Dex + Growth'!$A$4:$R$190,18,FALSE)</x:f>
        <x:v>2.04</x:v>
      </x:c>
      <x:c r="M63" s="66" t="n">
        <x:f>VLOOKUP(D63,'Full Dex + Growth'!$A$4:$R$190,18,FALSE)</x:f>
        <x:v>3.11</x:v>
      </x:c>
      <x:c r="N63" s="66" t="n">
        <x:f>M63-L63</x:f>
        <x:v>1.0699999999999998</x:v>
      </x:c>
      <x:c r="O63" s="66" t="n">
        <x:f>N63*4</x:f>
        <x:v>4.279999999999999</x:v>
      </x:c>
      <x:c r="P63" s="66" t="n">
        <x:f>N63*10</x:f>
        <x:v>10.7</x:v>
      </x:c>
      <x:c r="Q63" s="60" t="str">
        <x:f>IF(N63&gt;=0.9,"High",IF(N63&gt;=0.5,"Moderate","Low"))</x:f>
        <x:v>High</x:v>
      </x:c>
      <x:c r="R63" s="60" t="n">
        <x:v>26</x:v>
      </x:c>
      <x:c r="S63" s="60" t="str">
        <x:v>KEEP EXISTING</x:v>
      </x:c>
      <x:c r="T63" s="62" t="str">
        <x:f>IF(N63&gt;0,"Target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3" s="62" t="str">
        <x:v>Apply target base-stat minus source base-stat to each live stat once; no RNG at evolution.</x:v>
      </x:c>
      <x:c r="V63" s="62" t="str">
        <x:v>Regional_Dex_Progression_Learnsets_v3.xlsx</x:v>
      </x:c>
    </x:row>
    <x:row r="64">
      <x:c r="A64" s="60" t="n">
        <x:v>61</x:v>
      </x:c>
      <x:c r="B64" s="60" t="n">
        <x:v>107</x:v>
      </x:c>
      <x:c r="C64" s="62" t="str">
        <x:v>Pebbettle</x:v>
      </x:c>
      <x:c r="D64" s="62" t="n">
        <x:v>108</x:v>
      </x:c>
      <x:c r="E64" s="62" t="str">
        <x:v>Avaroll</x:v>
      </x:c>
      <x:c r="F64" s="62" t="str">
        <x:v>ITEM</x:v>
      </x:c>
      <x:c r="G64" s="62" t="n">
        <x:v>28</x:v>
      </x:c>
      <x:c r="H64" s="62" t="str">
        <x:v>Gilded Nodule</x:v>
      </x:c>
      <x:c r="I64" s="60" t="n">
        <x:f>VLOOKUP(B64,'Full Dex + Growth'!$A$4:$R$190,11,FALSE)</x:f>
        <x:v>295</x:v>
      </x:c>
      <x:c r="J64" s="60" t="n">
        <x:f>VLOOKUP(D64,'Full Dex + Growth'!$A$4:$R$190,11,FALSE)</x:f>
        <x:v>500</x:v>
      </x:c>
      <x:c r="K64" s="60" t="n">
        <x:f>J64-I64</x:f>
        <x:v>205</x:v>
      </x:c>
      <x:c r="L64" s="66" t="n">
        <x:f>VLOOKUP(B64,'Full Dex + Growth'!$A$4:$R$190,18,FALSE)</x:f>
        <x:v>2.07</x:v>
      </x:c>
      <x:c r="M64" s="66" t="n">
        <x:f>VLOOKUP(D64,'Full Dex + Growth'!$A$4:$R$190,18,FALSE)</x:f>
        <x:v>3.08</x:v>
      </x:c>
      <x:c r="N64" s="66" t="n">
        <x:f>M64-L64</x:f>
        <x:v>1.0100000000000002</x:v>
      </x:c>
      <x:c r="O64" s="66" t="n">
        <x:f>N64*4</x:f>
        <x:v>4.040000000000001</x:v>
      </x:c>
      <x:c r="P64" s="66" t="n">
        <x:f>N64*10</x:f>
        <x:v>10.100000000000001</x:v>
      </x:c>
      <x:c r="Q64" s="60" t="str">
        <x:f>IF(N64&gt;=0.9,"High",IF(N64&gt;=0.5,"Moderate","Low"))</x:f>
        <x:v>High</x:v>
      </x:c>
      <x:c r="R64" s="60" t="n">
        <x:v>28</x:v>
      </x:c>
      <x:c r="S64" s="60" t="str">
        <x:v>KEEP EXISTING</x:v>
      </x:c>
      <x:c r="T64" s="62" t="str">
        <x:f>IF(N64&gt;0,"Target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4" s="62" t="str">
        <x:v>Apply target base-stat minus source base-stat to each live stat once; no RNG at evolution.</x:v>
      </x:c>
      <x:c r="V64" s="62" t="str">
        <x:v>Regional_Dex_Progression_Learnsets_v3.xlsx</x:v>
      </x:c>
    </x:row>
    <x:row r="65">
      <x:c r="A65" s="60" t="n">
        <x:v>62</x:v>
      </x:c>
      <x:c r="B65" s="60" t="n">
        <x:v>107</x:v>
      </x:c>
      <x:c r="C65" s="62" t="str">
        <x:v>Pebbettle</x:v>
      </x:c>
      <x:c r="D65" s="62" t="n">
        <x:v>109</x:v>
      </x:c>
      <x:c r="E65" s="62" t="str">
        <x:v>Prodiglow</x:v>
      </x:c>
      <x:c r="F65" s="62" t="str">
        <x:v>ITEM</x:v>
      </x:c>
      <x:c r="G65" s="62" t="n">
        <x:v>28</x:v>
      </x:c>
      <x:c r="H65" s="62" t="str">
        <x:v>Stormglass</x:v>
      </x:c>
      <x:c r="I65" s="60" t="n">
        <x:f>VLOOKUP(B65,'Full Dex + Growth'!$A$4:$R$190,11,FALSE)</x:f>
        <x:v>295</x:v>
      </x:c>
      <x:c r="J65" s="60" t="n">
        <x:f>VLOOKUP(D65,'Full Dex + Growth'!$A$4:$R$190,11,FALSE)</x:f>
        <x:v>500</x:v>
      </x:c>
      <x:c r="K65" s="60" t="n">
        <x:f>J65-I65</x:f>
        <x:v>205</x:v>
      </x:c>
      <x:c r="L65" s="66" t="n">
        <x:f>VLOOKUP(B65,'Full Dex + Growth'!$A$4:$R$190,18,FALSE)</x:f>
        <x:v>2.07</x:v>
      </x:c>
      <x:c r="M65" s="66" t="n">
        <x:f>VLOOKUP(D65,'Full Dex + Growth'!$A$4:$R$190,18,FALSE)</x:f>
        <x:v>2.7</x:v>
      </x:c>
      <x:c r="N65" s="66" t="n">
        <x:f>M65-L65</x:f>
        <x:v>0.6300000000000003</x:v>
      </x:c>
      <x:c r="O65" s="66" t="n">
        <x:f>N65*4</x:f>
        <x:v>2.5200000000000014</x:v>
      </x:c>
      <x:c r="P65" s="66" t="n">
        <x:f>N65*10</x:f>
        <x:v>6.300000000000003</x:v>
      </x:c>
      <x:c r="Q65" s="60" t="str">
        <x:f>IF(N65&gt;=0.9,"High",IF(N65&gt;=0.5,"Moderate","Low"))</x:f>
        <x:v>Moderate</x:v>
      </x:c>
      <x:c r="R65" s="60" t="n">
        <x:v>28</x:v>
      </x:c>
      <x:c r="S65" s="60" t="str">
        <x:v>KEEP EXISTING</x:v>
      </x:c>
      <x:c r="T65" s="62" t="str">
        <x:f>IF(N65&gt;0,"Target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5" s="62" t="str">
        <x:v>Apply target base-stat minus source base-stat to each live stat once; no RNG at evolution.</x:v>
      </x:c>
      <x:c r="V65" s="62" t="str">
        <x:v>Regional_Dex_Progression_Learnsets_v3.xlsx</x:v>
      </x:c>
    </x:row>
    <x:row r="66">
      <x:c r="A66" s="60" t="n">
        <x:v>63</x:v>
      </x:c>
      <x:c r="B66" s="60" t="n">
        <x:v>110</x:v>
      </x:c>
      <x:c r="C66" s="62" t="str">
        <x:v>Styxlet</x:v>
      </x:c>
      <x:c r="D66" s="62" t="n">
        <x:v>111</x:v>
      </x:c>
      <x:c r="E66" s="62" t="str">
        <x:v>Ragegill</x:v>
      </x:c>
      <x:c r="F66" s="62" t="str">
        <x:v>ITEM</x:v>
      </x:c>
      <x:c r="G66" s="62" t="n">
        <x:v>28</x:v>
      </x:c>
      <x:c r="H66" s="62" t="str">
        <x:v>Bloodstone</x:v>
      </x:c>
      <x:c r="I66" s="60" t="n">
        <x:f>VLOOKUP(B66,'Full Dex + Growth'!$A$4:$R$190,11,FALSE)</x:f>
        <x:v>300</x:v>
      </x:c>
      <x:c r="J66" s="60" t="n">
        <x:f>VLOOKUP(D66,'Full Dex + Growth'!$A$4:$R$190,11,FALSE)</x:f>
        <x:v>500</x:v>
      </x:c>
      <x:c r="K66" s="60" t="n">
        <x:f>J66-I66</x:f>
        <x:v>200</x:v>
      </x:c>
      <x:c r="L66" s="66" t="n">
        <x:f>VLOOKUP(B66,'Full Dex + Growth'!$A$4:$R$190,18,FALSE)</x:f>
        <x:v>1.92</x:v>
      </x:c>
      <x:c r="M66" s="66" t="n">
        <x:f>VLOOKUP(D66,'Full Dex + Growth'!$A$4:$R$190,18,FALSE)</x:f>
        <x:v>2.74</x:v>
      </x:c>
      <x:c r="N66" s="66" t="n">
        <x:f>M66-L66</x:f>
        <x:v>0.8200000000000003</x:v>
      </x:c>
      <x:c r="O66" s="66" t="n">
        <x:f>N66*4</x:f>
        <x:v>3.280000000000001</x:v>
      </x:c>
      <x:c r="P66" s="66" t="n">
        <x:f>N66*10</x:f>
        <x:v>8.200000000000003</x:v>
      </x:c>
      <x:c r="Q66" s="60" t="str">
        <x:f>IF(N66&gt;=0.9,"High",IF(N66&gt;=0.5,"Moderate","Low"))</x:f>
        <x:v>Moderate</x:v>
      </x:c>
      <x:c r="R66" s="60" t="n">
        <x:v>28</x:v>
      </x:c>
      <x:c r="S66" s="60" t="str">
        <x:v>KEEP EXISTING</x:v>
      </x:c>
      <x:c r="T66" s="62" t="str">
        <x:f>IF(N66&gt;0,"Target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6" s="62" t="str">
        <x:v>Apply target base-stat minus source base-stat to each live stat once; no RNG at evolution.</x:v>
      </x:c>
      <x:c r="V66" s="62" t="str">
        <x:v>Regional_Dex_Progression_Learnsets_v3.xlsx</x:v>
      </x:c>
    </x:row>
    <x:row r="67">
      <x:c r="A67" s="60" t="n">
        <x:v>64</x:v>
      </x:c>
      <x:c r="B67" s="60" t="n">
        <x:v>110</x:v>
      </x:c>
      <x:c r="C67" s="62" t="str">
        <x:v>Styxlet</x:v>
      </x:c>
      <x:c r="D67" s="62" t="n">
        <x:v>112</x:v>
      </x:c>
      <x:c r="E67" s="62" t="str">
        <x:v>Sulkoad</x:v>
      </x:c>
      <x:c r="F67" s="62" t="str">
        <x:v>ITEM</x:v>
      </x:c>
      <x:c r="G67" s="62" t="n">
        <x:v>28</x:v>
      </x:c>
      <x:c r="H67" s="62" t="str">
        <x:v>Grief Pearl</x:v>
      </x:c>
      <x:c r="I67" s="60" t="n">
        <x:f>VLOOKUP(B67,'Full Dex + Growth'!$A$4:$R$190,11,FALSE)</x:f>
        <x:v>300</x:v>
      </x:c>
      <x:c r="J67" s="60" t="n">
        <x:f>VLOOKUP(D67,'Full Dex + Growth'!$A$4:$R$190,11,FALSE)</x:f>
        <x:v>500</x:v>
      </x:c>
      <x:c r="K67" s="60" t="n">
        <x:f>J67-I67</x:f>
        <x:v>200</x:v>
      </x:c>
      <x:c r="L67" s="66" t="n">
        <x:f>VLOOKUP(B67,'Full Dex + Growth'!$A$4:$R$190,18,FALSE)</x:f>
        <x:v>1.92</x:v>
      </x:c>
      <x:c r="M67" s="66" t="n">
        <x:f>VLOOKUP(D67,'Full Dex + Growth'!$A$4:$R$190,18,FALSE)</x:f>
        <x:v>3.04</x:v>
      </x:c>
      <x:c r="N67" s="66" t="n">
        <x:f>M67-L67</x:f>
        <x:v>1.12</x:v>
      </x:c>
      <x:c r="O67" s="66" t="n">
        <x:f>N67*4</x:f>
        <x:v>4.48</x:v>
      </x:c>
      <x:c r="P67" s="66" t="n">
        <x:f>N67*10</x:f>
        <x:v>11.200000000000001</x:v>
      </x:c>
      <x:c r="Q67" s="60" t="str">
        <x:f>IF(N67&gt;=0.9,"High",IF(N67&gt;=0.5,"Moderate","Low"))</x:f>
        <x:v>High</x:v>
      </x:c>
      <x:c r="R67" s="60" t="n">
        <x:v>28</x:v>
      </x:c>
      <x:c r="S67" s="60" t="str">
        <x:v>KEEP EXISTING</x:v>
      </x:c>
      <x:c r="T67" s="62" t="str">
        <x:f>IF(N67&gt;0,"Target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7" s="62" t="str">
        <x:v>Apply target base-stat minus source base-stat to each live stat once; no RNG at evolution.</x:v>
      </x:c>
      <x:c r="V67" s="62" t="str">
        <x:v>Regional_Dex_Progression_Learnsets_v3.xlsx</x:v>
      </x:c>
    </x:row>
    <x:row r="68">
      <x:c r="A68" s="60" t="n">
        <x:v>65</x:v>
      </x:c>
      <x:c r="B68" s="60" t="n">
        <x:v>113</x:v>
      </x:c>
      <x:c r="C68" s="62" t="str">
        <x:v>Embertle</x:v>
      </x:c>
      <x:c r="D68" s="62" t="n">
        <x:v>114</x:v>
      </x:c>
      <x:c r="E68" s="62" t="str">
        <x:v>Sepulchel</x:v>
      </x:c>
      <x:c r="F68" s="62" t="str">
        <x:v>LEVEL</x:v>
      </x:c>
      <x:c r="G68" s="62" t="n">
        <x:v>26</x:v>
      </x:c>
      <x:c r="H68" s="62" t="str"/>
      <x:c r="I68" s="60" t="n">
        <x:f>VLOOKUP(B68,'Full Dex + Growth'!$A$4:$R$190,11,FALSE)</x:f>
        <x:v>305</x:v>
      </x:c>
      <x:c r="J68" s="60" t="n">
        <x:f>VLOOKUP(D68,'Full Dex + Growth'!$A$4:$R$190,11,FALSE)</x:f>
        <x:v>515</x:v>
      </x:c>
      <x:c r="K68" s="60" t="n">
        <x:f>J68-I68</x:f>
        <x:v>210</x:v>
      </x:c>
      <x:c r="L68" s="66" t="n">
        <x:f>VLOOKUP(B68,'Full Dex + Growth'!$A$4:$R$190,18,FALSE)</x:f>
        <x:v>2.22</x:v>
      </x:c>
      <x:c r="M68" s="66" t="n">
        <x:f>VLOOKUP(D68,'Full Dex + Growth'!$A$4:$R$190,18,FALSE)</x:f>
        <x:v>3.15</x:v>
      </x:c>
      <x:c r="N68" s="66" t="n">
        <x:f>M68-L68</x:f>
        <x:v>0.9299999999999997</x:v>
      </x:c>
      <x:c r="O68" s="66" t="n">
        <x:f>N68*4</x:f>
        <x:v>3.719999999999999</x:v>
      </x:c>
      <x:c r="P68" s="66" t="n">
        <x:f>N68*10</x:f>
        <x:v>9.299999999999997</x:v>
      </x:c>
      <x:c r="Q68" s="60" t="str">
        <x:f>IF(N68&gt;=0.9,"High",IF(N68&gt;=0.5,"Moderate","Low"))</x:f>
        <x:v>High</x:v>
      </x:c>
      <x:c r="R68" s="60" t="n">
        <x:v>26</x:v>
      </x:c>
      <x:c r="S68" s="60" t="str">
        <x:v>KEEP EXISTING</x:v>
      </x:c>
      <x:c r="T68" s="62" t="str">
        <x:f>IF(N68&gt;0,"Target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8" s="62" t="str">
        <x:v>Apply target base-stat minus source base-stat to each live stat once; no RNG at evolution.</x:v>
      </x:c>
      <x:c r="V68" s="62" t="str">
        <x:v>Regional_Dex_Progression_Learnsets_v3.xlsx</x:v>
      </x:c>
    </x:row>
    <x:row r="69">
      <x:c r="A69" s="60" t="n">
        <x:v>66</x:v>
      </x:c>
      <x:c r="B69" s="60" t="n">
        <x:v>115</x:v>
      </x:c>
      <x:c r="C69" s="62" t="str">
        <x:v>Triskit</x:v>
      </x:c>
      <x:c r="D69" s="62" t="n">
        <x:v>116</x:v>
      </x:c>
      <x:c r="E69" s="62" t="str">
        <x:v>Phlegacorn</x:v>
      </x:c>
      <x:c r="F69" s="62" t="str">
        <x:v>ITEM</x:v>
      </x:c>
      <x:c r="G69" s="62" t="n">
        <x:v>30</x:v>
      </x:c>
      <x:c r="H69" s="62" t="str">
        <x:v>Tide Pearl</x:v>
      </x:c>
      <x:c r="I69" s="60" t="n">
        <x:f>VLOOKUP(B69,'Full Dex + Growth'!$A$4:$R$190,11,FALSE)</x:f>
        <x:v>320</x:v>
      </x:c>
      <x:c r="J69" s="60" t="n">
        <x:f>VLOOKUP(D69,'Full Dex + Growth'!$A$4:$R$190,11,FALSE)</x:f>
        <x:v>515</x:v>
      </x:c>
      <x:c r="K69" s="60" t="n">
        <x:f>J69-I69</x:f>
        <x:v>195</x:v>
      </x:c>
      <x:c r="L69" s="66" t="n">
        <x:f>VLOOKUP(B69,'Full Dex + Growth'!$A$4:$R$190,18,FALSE)</x:f>
        <x:v>2.02</x:v>
      </x:c>
      <x:c r="M69" s="66" t="n">
        <x:f>VLOOKUP(D69,'Full Dex + Growth'!$A$4:$R$190,18,FALSE)</x:f>
        <x:v>2.75</x:v>
      </x:c>
      <x:c r="N69" s="66" t="n">
        <x:f>M69-L69</x:f>
        <x:v>0.73</x:v>
      </x:c>
      <x:c r="O69" s="66" t="n">
        <x:f>N69*4</x:f>
        <x:v>2.92</x:v>
      </x:c>
      <x:c r="P69" s="66" t="n">
        <x:f>N69*10</x:f>
        <x:v>7.3</x:v>
      </x:c>
      <x:c r="Q69" s="60" t="str">
        <x:f>IF(N69&gt;=0.9,"High",IF(N69&gt;=0.5,"Moderate","Low"))</x:f>
        <x:v>Moderate</x:v>
      </x:c>
      <x:c r="R69" s="60" t="n">
        <x:v>30</x:v>
      </x:c>
      <x:c r="S69" s="60" t="str">
        <x:v>KEEP EXISTING</x:v>
      </x:c>
      <x:c r="T69" s="62" t="str">
        <x:f>IF(N69&gt;0,"Target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69" s="62" t="str">
        <x:v>Apply target base-stat minus source base-stat to each live stat once; no RNG at evolution.</x:v>
      </x:c>
      <x:c r="V69" s="62" t="str">
        <x:v>Regional_Dex_Progression_Learnsets_v3.xlsx</x:v>
      </x:c>
    </x:row>
    <x:row r="70">
      <x:c r="A70" s="60" t="n">
        <x:v>67</x:v>
      </x:c>
      <x:c r="B70" s="60" t="n">
        <x:v>115</x:v>
      </x:c>
      <x:c r="C70" s="62" t="str">
        <x:v>Triskit</x:v>
      </x:c>
      <x:c r="D70" s="62" t="n">
        <x:v>117</x:v>
      </x:c>
      <x:c r="E70" s="62" t="str">
        <x:v>Harpbriar</x:v>
      </x:c>
      <x:c r="F70" s="62" t="str">
        <x:v>ITEM</x:v>
      </x:c>
      <x:c r="G70" s="62" t="n">
        <x:v>30</x:v>
      </x:c>
      <x:c r="H70" s="62" t="str">
        <x:v>Mourning Briar</x:v>
      </x:c>
      <x:c r="I70" s="60" t="n">
        <x:f>VLOOKUP(B70,'Full Dex + Growth'!$A$4:$R$190,11,FALSE)</x:f>
        <x:v>320</x:v>
      </x:c>
      <x:c r="J70" s="60" t="n">
        <x:f>VLOOKUP(D70,'Full Dex + Growth'!$A$4:$R$190,11,FALSE)</x:f>
        <x:v>515</x:v>
      </x:c>
      <x:c r="K70" s="60" t="n">
        <x:f>J70-I70</x:f>
        <x:v>195</x:v>
      </x:c>
      <x:c r="L70" s="66" t="n">
        <x:f>VLOOKUP(B70,'Full Dex + Growth'!$A$4:$R$190,18,FALSE)</x:f>
        <x:v>2.02</x:v>
      </x:c>
      <x:c r="M70" s="66" t="n">
        <x:f>VLOOKUP(D70,'Full Dex + Growth'!$A$4:$R$190,18,FALSE)</x:f>
        <x:v>2.78</x:v>
      </x:c>
      <x:c r="N70" s="66" t="n">
        <x:f>M70-L70</x:f>
        <x:v>0.7599999999999998</x:v>
      </x:c>
      <x:c r="O70" s="66" t="n">
        <x:f>N70*4</x:f>
        <x:v>3.039999999999999</x:v>
      </x:c>
      <x:c r="P70" s="66" t="n">
        <x:f>N70*10</x:f>
        <x:v>7.599999999999998</x:v>
      </x:c>
      <x:c r="Q70" s="60" t="str">
        <x:f>IF(N70&gt;=0.9,"High",IF(N70&gt;=0.5,"Moderate","Low"))</x:f>
        <x:v>Moderate</x:v>
      </x:c>
      <x:c r="R70" s="60" t="n">
        <x:v>30</x:v>
      </x:c>
      <x:c r="S70" s="60" t="str">
        <x:v>KEEP EXISTING</x:v>
      </x:c>
      <x:c r="T70" s="62" t="str">
        <x:f>IF(N70&gt;0,"Target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0" s="62" t="str">
        <x:v>Apply target base-stat minus source base-stat to each live stat once; no RNG at evolution.</x:v>
      </x:c>
      <x:c r="V70" s="62" t="str">
        <x:v>Regional_Dex_Progression_Learnsets_v3.xlsx</x:v>
      </x:c>
    </x:row>
    <x:row r="71">
      <x:c r="A71" s="60" t="n">
        <x:v>68</x:v>
      </x:c>
      <x:c r="B71" s="60" t="n">
        <x:v>115</x:v>
      </x:c>
      <x:c r="C71" s="62" t="str">
        <x:v>Triskit</x:v>
      </x:c>
      <x:c r="D71" s="62" t="n">
        <x:v>118</x:v>
      </x:c>
      <x:c r="E71" s="62" t="str">
        <x:v>Searwaste</x:v>
      </x:c>
      <x:c r="F71" s="62" t="str">
        <x:v>ITEM</x:v>
      </x:c>
      <x:c r="G71" s="62" t="n">
        <x:v>30</x:v>
      </x:c>
      <x:c r="H71" s="62" t="str">
        <x:v>Sunscar Glass</x:v>
      </x:c>
      <x:c r="I71" s="60" t="n">
        <x:f>VLOOKUP(B71,'Full Dex + Growth'!$A$4:$R$190,11,FALSE)</x:f>
        <x:v>320</x:v>
      </x:c>
      <x:c r="J71" s="60" t="n">
        <x:f>VLOOKUP(D71,'Full Dex + Growth'!$A$4:$R$190,11,FALSE)</x:f>
        <x:v>515</x:v>
      </x:c>
      <x:c r="K71" s="60" t="n">
        <x:f>J71-I71</x:f>
        <x:v>195</x:v>
      </x:c>
      <x:c r="L71" s="66" t="n">
        <x:f>VLOOKUP(B71,'Full Dex + Growth'!$A$4:$R$190,18,FALSE)</x:f>
        <x:v>2.02</x:v>
      </x:c>
      <x:c r="M71" s="66" t="n">
        <x:f>VLOOKUP(D71,'Full Dex + Growth'!$A$4:$R$190,18,FALSE)</x:f>
        <x:v>2.98</x:v>
      </x:c>
      <x:c r="N71" s="66" t="n">
        <x:f>M71-L71</x:f>
        <x:v>0.96</x:v>
      </x:c>
      <x:c r="O71" s="66" t="n">
        <x:f>N71*4</x:f>
        <x:v>3.84</x:v>
      </x:c>
      <x:c r="P71" s="66" t="n">
        <x:f>N71*10</x:f>
        <x:v>9.6</x:v>
      </x:c>
      <x:c r="Q71" s="60" t="str">
        <x:f>IF(N71&gt;=0.9,"High",IF(N71&gt;=0.5,"Moderate","Low"))</x:f>
        <x:v>High</x:v>
      </x:c>
      <x:c r="R71" s="60" t="n">
        <x:v>30</x:v>
      </x:c>
      <x:c r="S71" s="60" t="str">
        <x:v>KEEP EXISTING</x:v>
      </x:c>
      <x:c r="T71" s="62" t="str">
        <x:f>IF(N71&gt;0,"Target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1" s="62" t="str">
        <x:v>Apply target base-stat minus source base-stat to each live stat once; no RNG at evolution.</x:v>
      </x:c>
      <x:c r="V71" s="62" t="str">
        <x:v>Regional_Dex_Progression_Learnsets_v3.xlsx</x:v>
      </x:c>
    </x:row>
    <x:row r="72">
      <x:c r="A72" s="60" t="n">
        <x:v>69</x:v>
      </x:c>
      <x:c r="B72" s="60" t="n">
        <x:v>119</x:v>
      </x:c>
      <x:c r="C72" s="62" t="str">
        <x:v>Feignid</x:v>
      </x:c>
      <x:c r="D72" s="62" t="n">
        <x:v>120</x:v>
      </x:c>
      <x:c r="E72" s="62" t="str">
        <x:v>Malebolace</x:v>
      </x:c>
      <x:c r="F72" s="62" t="str">
        <x:v>LEVEL</x:v>
      </x:c>
      <x:c r="G72" s="62" t="n">
        <x:v>26</x:v>
      </x:c>
      <x:c r="H72" s="62" t="str"/>
      <x:c r="I72" s="60" t="n">
        <x:f>VLOOKUP(B72,'Full Dex + Growth'!$A$4:$R$190,11,FALSE)</x:f>
        <x:v>290</x:v>
      </x:c>
      <x:c r="J72" s="60" t="n">
        <x:f>VLOOKUP(D72,'Full Dex + Growth'!$A$4:$R$190,11,FALSE)</x:f>
        <x:v>505</x:v>
      </x:c>
      <x:c r="K72" s="60" t="n">
        <x:f>J72-I72</x:f>
        <x:v>215</x:v>
      </x:c>
      <x:c r="L72" s="66" t="n">
        <x:f>VLOOKUP(B72,'Full Dex + Growth'!$A$4:$R$190,18,FALSE)</x:f>
        <x:v>2.08</x:v>
      </x:c>
      <x:c r="M72" s="66" t="n">
        <x:f>VLOOKUP(D72,'Full Dex + Growth'!$A$4:$R$190,18,FALSE)</x:f>
        <x:v>2.75</x:v>
      </x:c>
      <x:c r="N72" s="66" t="n">
        <x:f>M72-L72</x:f>
        <x:v>0.6699999999999999</x:v>
      </x:c>
      <x:c r="O72" s="66" t="n">
        <x:f>N72*4</x:f>
        <x:v>2.6799999999999997</x:v>
      </x:c>
      <x:c r="P72" s="66" t="n">
        <x:f>N72*10</x:f>
        <x:v>6.699999999999999</x:v>
      </x:c>
      <x:c r="Q72" s="60" t="str">
        <x:f>IF(N72&gt;=0.9,"High",IF(N72&gt;=0.5,"Moderate","Low"))</x:f>
        <x:v>Moderate</x:v>
      </x:c>
      <x:c r="R72" s="60" t="n">
        <x:v>26</x:v>
      </x:c>
      <x:c r="S72" s="60" t="str">
        <x:v>KEEP EXISTING</x:v>
      </x:c>
      <x:c r="T72" s="62" t="str">
        <x:f>IF(N72&gt;0,"Target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2" s="62" t="str">
        <x:v>Apply target base-stat minus source base-stat to each live stat once; no RNG at evolution.</x:v>
      </x:c>
      <x:c r="V72" s="62" t="str">
        <x:v>Regional_Dex_Progression_Learnsets_v3.xlsx</x:v>
      </x:c>
    </x:row>
    <x:row r="73">
      <x:c r="A73" s="60" t="n">
        <x:v>70</x:v>
      </x:c>
      <x:c r="B73" s="60" t="n">
        <x:v>121</x:v>
      </x:c>
      <x:c r="C73" s="62" t="str">
        <x:v>Kincoil</x:v>
      </x:c>
      <x:c r="D73" s="62" t="n">
        <x:v>122</x:v>
      </x:c>
      <x:c r="E73" s="62" t="str">
        <x:v>Pactolin</x:v>
      </x:c>
      <x:c r="F73" s="62" t="str">
        <x:v>LEVEL</x:v>
      </x:c>
      <x:c r="G73" s="62" t="n">
        <x:v>28</x:v>
      </x:c>
      <x:c r="H73" s="62" t="str"/>
      <x:c r="I73" s="60" t="n">
        <x:f>VLOOKUP(B73,'Full Dex + Growth'!$A$4:$R$190,11,FALSE)</x:f>
        <x:v>310</x:v>
      </x:c>
      <x:c r="J73" s="60" t="n">
        <x:f>VLOOKUP(D73,'Full Dex + Growth'!$A$4:$R$190,11,FALSE)</x:f>
        <x:v>420</x:v>
      </x:c>
      <x:c r="K73" s="60" t="n">
        <x:f>J73-I73</x:f>
        <x:v>110</x:v>
      </x:c>
      <x:c r="L73" s="66" t="n">
        <x:f>VLOOKUP(B73,'Full Dex + Growth'!$A$4:$R$190,18,FALSE)</x:f>
        <x:v>2.15</x:v>
      </x:c>
      <x:c r="M73" s="66" t="n">
        <x:f>VLOOKUP(D73,'Full Dex + Growth'!$A$4:$R$190,18,FALSE)</x:f>
        <x:v>2.58</x:v>
      </x:c>
      <x:c r="N73" s="66" t="n">
        <x:f>M73-L73</x:f>
        <x:v>0.43000000000000016</x:v>
      </x:c>
      <x:c r="O73" s="66" t="n">
        <x:f>N73*4</x:f>
        <x:v>1.7200000000000006</x:v>
      </x:c>
      <x:c r="P73" s="66" t="n">
        <x:f>N73*10</x:f>
        <x:v>4.300000000000002</x:v>
      </x:c>
      <x:c r="Q73" s="60" t="str">
        <x:f>IF(N73&gt;=0.9,"High",IF(N73&gt;=0.5,"Moderate","Low"))</x:f>
        <x:v>Low</x:v>
      </x:c>
      <x:c r="R73" s="60" t="n">
        <x:v>28</x:v>
      </x:c>
      <x:c r="S73" s="60" t="str">
        <x:v>KEEP EXISTING</x:v>
      </x:c>
      <x:c r="T73" s="62" t="str">
        <x:f>IF(N73&gt;0,"Target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3" s="62" t="str">
        <x:v>Apply target base-stat minus source base-stat to each live stat once; no RNG at evolution.</x:v>
      </x:c>
      <x:c r="V73" s="62" t="str">
        <x:v>Regional_Dex_Progression_Learnsets_v3.xlsx</x:v>
      </x:c>
    </x:row>
    <x:row r="74">
      <x:c r="A74" s="60" t="n">
        <x:v>71</x:v>
      </x:c>
      <x:c r="B74" s="60" t="n">
        <x:v>122</x:v>
      </x:c>
      <x:c r="C74" s="62" t="str">
        <x:v>Pactolin</x:v>
      </x:c>
      <x:c r="D74" s="62" t="n">
        <x:v>123</x:v>
      </x:c>
      <x:c r="E74" s="62" t="str">
        <x:v>Cocytalon</x:v>
      </x:c>
      <x:c r="F74" s="62" t="str">
        <x:v>LEVEL</x:v>
      </x:c>
      <x:c r="G74" s="62" t="n">
        <x:v>45</x:v>
      </x:c>
      <x:c r="H74" s="62" t="str"/>
      <x:c r="I74" s="60" t="n">
        <x:f>VLOOKUP(B74,'Full Dex + Growth'!$A$4:$R$190,11,FALSE)</x:f>
        <x:v>420</x:v>
      </x:c>
      <x:c r="J74" s="60" t="n">
        <x:f>VLOOKUP(D74,'Full Dex + Growth'!$A$4:$R$190,11,FALSE)</x:f>
        <x:v>550</x:v>
      </x:c>
      <x:c r="K74" s="60" t="n">
        <x:f>J74-I74</x:f>
        <x:v>130</x:v>
      </x:c>
      <x:c r="L74" s="66" t="n">
        <x:f>VLOOKUP(B74,'Full Dex + Growth'!$A$4:$R$190,18,FALSE)</x:f>
        <x:v>2.58</x:v>
      </x:c>
      <x:c r="M74" s="66" t="n">
        <x:f>VLOOKUP(D74,'Full Dex + Growth'!$A$4:$R$190,18,FALSE)</x:f>
        <x:v>3.26</x:v>
      </x:c>
      <x:c r="N74" s="66" t="n">
        <x:f>M74-L74</x:f>
        <x:v>0.6799999999999997</x:v>
      </x:c>
      <x:c r="O74" s="66" t="n">
        <x:f>N74*4</x:f>
        <x:v>2.719999999999999</x:v>
      </x:c>
      <x:c r="P74" s="66" t="n">
        <x:f>N74*10</x:f>
        <x:v>6.799999999999997</x:v>
      </x:c>
      <x:c r="Q74" s="60" t="str">
        <x:f>IF(N74&gt;=0.9,"High",IF(N74&gt;=0.5,"Moderate","Low"))</x:f>
        <x:v>Moderate</x:v>
      </x:c>
      <x:c r="R74" s="60" t="n">
        <x:v>45</x:v>
      </x:c>
      <x:c r="S74" s="60" t="str">
        <x:v>KEEP EXISTING</x:v>
      </x:c>
      <x:c r="T74" s="62" t="str">
        <x:f>IF(N74&gt;0,"Target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4" s="62" t="str">
        <x:v>Apply target base-stat minus source base-stat to each live stat once; no RNG at evolution.</x:v>
      </x:c>
      <x:c r="V74" s="62" t="str">
        <x:v>Regional_Dex_Progression_Learnsets_v3.xlsx</x:v>
      </x:c>
    </x:row>
    <x:row r="75">
      <x:c r="A75" s="60" t="n">
        <x:v>72</x:v>
      </x:c>
      <x:c r="B75" s="60" t="n">
        <x:v>125</x:v>
      </x:c>
      <x:c r="C75" s="62" t="str">
        <x:v>Scarabel</x:v>
      </x:c>
      <x:c r="D75" s="62" t="n">
        <x:v>126</x:v>
      </x:c>
      <x:c r="E75" s="62" t="str">
        <x:v>Bulwarkab</x:v>
      </x:c>
      <x:c r="F75" s="62" t="str">
        <x:v>LEVEL</x:v>
      </x:c>
      <x:c r="G75" s="62" t="n">
        <x:v>26</x:v>
      </x:c>
      <x:c r="H75" s="62" t="str"/>
      <x:c r="I75" s="60" t="n">
        <x:f>VLOOKUP(B75,'Full Dex + Growth'!$A$4:$R$190,11,FALSE)</x:f>
        <x:v>305</x:v>
      </x:c>
      <x:c r="J75" s="60" t="n">
        <x:f>VLOOKUP(D75,'Full Dex + Growth'!$A$4:$R$190,11,FALSE)</x:f>
        <x:v>505</x:v>
      </x:c>
      <x:c r="K75" s="60" t="n">
        <x:f>J75-I75</x:f>
        <x:v>200</x:v>
      </x:c>
      <x:c r="L75" s="66" t="n">
        <x:f>VLOOKUP(B75,'Full Dex + Growth'!$A$4:$R$190,18,FALSE)</x:f>
        <x:v>2.08</x:v>
      </x:c>
      <x:c r="M75" s="66" t="n">
        <x:f>VLOOKUP(D75,'Full Dex + Growth'!$A$4:$R$190,18,FALSE)</x:f>
        <x:v>3.24</x:v>
      </x:c>
      <x:c r="N75" s="66" t="n">
        <x:f>M75-L75</x:f>
        <x:v>1.1600000000000001</x:v>
      </x:c>
      <x:c r="O75" s="66" t="n">
        <x:f>N75*4</x:f>
        <x:v>4.640000000000001</x:v>
      </x:c>
      <x:c r="P75" s="66" t="n">
        <x:f>N75*10</x:f>
        <x:v>11.600000000000001</x:v>
      </x:c>
      <x:c r="Q75" s="60" t="str">
        <x:f>IF(N75&gt;=0.9,"High",IF(N75&gt;=0.5,"Moderate","Low"))</x:f>
        <x:v>High</x:v>
      </x:c>
      <x:c r="R75" s="60" t="n">
        <x:v>26</x:v>
      </x:c>
      <x:c r="S75" s="60" t="str">
        <x:v>KEEP EXISTING</x:v>
      </x:c>
      <x:c r="T75" s="62" t="str">
        <x:f>IF(N75&gt;0,"Target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5" s="62" t="str">
        <x:v>Apply target base-stat minus source base-stat to each live stat once; no RNG at evolution.</x:v>
      </x:c>
      <x:c r="V75" s="62" t="str">
        <x:v>Regional_Dex_Progression_Learnsets_v3.xlsx</x:v>
      </x:c>
    </x:row>
    <x:row r="76">
      <x:c r="A76" s="60" t="n">
        <x:v>73</x:v>
      </x:c>
      <x:c r="B76" s="60" t="n">
        <x:v>127</x:v>
      </x:c>
      <x:c r="C76" s="62" t="str">
        <x:v>Mortargek</x:v>
      </x:c>
      <x:c r="D76" s="62" t="n">
        <x:v>128</x:v>
      </x:c>
      <x:c r="E76" s="62" t="str">
        <x:v>Sallyskink</x:v>
      </x:c>
      <x:c r="F76" s="62" t="str">
        <x:v>LEVEL</x:v>
      </x:c>
      <x:c r="G76" s="62" t="n">
        <x:v>26</x:v>
      </x:c>
      <x:c r="H76" s="62" t="str"/>
      <x:c r="I76" s="60" t="n">
        <x:f>VLOOKUP(B76,'Full Dex + Growth'!$A$4:$R$190,11,FALSE)</x:f>
        <x:v>295</x:v>
      </x:c>
      <x:c r="J76" s="60" t="n">
        <x:f>VLOOKUP(D76,'Full Dex + Growth'!$A$4:$R$190,11,FALSE)</x:f>
        <x:v>495</x:v>
      </x:c>
      <x:c r="K76" s="60" t="n">
        <x:f>J76-I76</x:f>
        <x:v>200</x:v>
      </x:c>
      <x:c r="L76" s="66" t="n">
        <x:f>VLOOKUP(B76,'Full Dex + Growth'!$A$4:$R$190,18,FALSE)</x:f>
        <x:v>1.97</x:v>
      </x:c>
      <x:c r="M76" s="66" t="n">
        <x:f>VLOOKUP(D76,'Full Dex + Growth'!$A$4:$R$190,18,FALSE)</x:f>
        <x:v>2.71</x:v>
      </x:c>
      <x:c r="N76" s="66" t="n">
        <x:f>M76-L76</x:f>
        <x:v>0.74</x:v>
      </x:c>
      <x:c r="O76" s="66" t="n">
        <x:f>N76*4</x:f>
        <x:v>2.96</x:v>
      </x:c>
      <x:c r="P76" s="66" t="n">
        <x:f>N76*10</x:f>
        <x:v>7.4</x:v>
      </x:c>
      <x:c r="Q76" s="60" t="str">
        <x:f>IF(N76&gt;=0.9,"High",IF(N76&gt;=0.5,"Moderate","Low"))</x:f>
        <x:v>Moderate</x:v>
      </x:c>
      <x:c r="R76" s="60" t="n">
        <x:v>26</x:v>
      </x:c>
      <x:c r="S76" s="60" t="str">
        <x:v>KEEP EXISTING</x:v>
      </x:c>
      <x:c r="T76" s="62" t="str">
        <x:f>IF(N76&gt;0,"Target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6" s="62" t="str">
        <x:v>Apply target base-stat minus source base-stat to each live stat once; no RNG at evolution.</x:v>
      </x:c>
      <x:c r="V76" s="62" t="str">
        <x:v>Regional_Dex_Progression_Learnsets_v3.xlsx</x:v>
      </x:c>
    </x:row>
    <x:row r="77">
      <x:c r="A77" s="60" t="n">
        <x:v>74</x:v>
      </x:c>
      <x:c r="B77" s="60" t="n">
        <x:v>130</x:v>
      </x:c>
      <x:c r="C77" s="62" t="str">
        <x:v>Veiltern</x:v>
      </x:c>
      <x:c r="D77" s="62" t="n">
        <x:v>131</x:v>
      </x:c>
      <x:c r="E77" s="62" t="str">
        <x:v>Galebrass</x:v>
      </x:c>
      <x:c r="F77" s="62" t="str">
        <x:v>LEVEL</x:v>
      </x:c>
      <x:c r="G77" s="62" t="n">
        <x:v>26</x:v>
      </x:c>
      <x:c r="H77" s="62" t="str"/>
      <x:c r="I77" s="60" t="n">
        <x:f>VLOOKUP(B77,'Full Dex + Growth'!$A$4:$R$190,11,FALSE)</x:f>
        <x:v>295</x:v>
      </x:c>
      <x:c r="J77" s="60" t="n">
        <x:f>VLOOKUP(D77,'Full Dex + Growth'!$A$4:$R$190,11,FALSE)</x:f>
        <x:v>500</x:v>
      </x:c>
      <x:c r="K77" s="60" t="n">
        <x:f>J77-I77</x:f>
        <x:v>205</x:v>
      </x:c>
      <x:c r="L77" s="66" t="n">
        <x:f>VLOOKUP(B77,'Full Dex + Growth'!$A$4:$R$190,18,FALSE)</x:f>
        <x:v>2.04</x:v>
      </x:c>
      <x:c r="M77" s="66" t="n">
        <x:f>VLOOKUP(D77,'Full Dex + Growth'!$A$4:$R$190,18,FALSE)</x:f>
        <x:v>2.7</x:v>
      </x:c>
      <x:c r="N77" s="66" t="n">
        <x:f>M77-L77</x:f>
        <x:v>0.6600000000000001</x:v>
      </x:c>
      <x:c r="O77" s="66" t="n">
        <x:f>N77*4</x:f>
        <x:v>2.6400000000000006</x:v>
      </x:c>
      <x:c r="P77" s="66" t="n">
        <x:f>N77*10</x:f>
        <x:v>6.600000000000001</x:v>
      </x:c>
      <x:c r="Q77" s="60" t="str">
        <x:f>IF(N77&gt;=0.9,"High",IF(N77&gt;=0.5,"Moderate","Low"))</x:f>
        <x:v>Moderate</x:v>
      </x:c>
      <x:c r="R77" s="60" t="n">
        <x:v>26</x:v>
      </x:c>
      <x:c r="S77" s="60" t="str">
        <x:v>KEEP EXISTING</x:v>
      </x:c>
      <x:c r="T77" s="62" t="str">
        <x:f>IF(N77&gt;0,"Target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7" s="62" t="str">
        <x:v>Apply target base-stat minus source base-stat to each live stat once; no RNG at evolution.</x:v>
      </x:c>
      <x:c r="V77" s="62" t="str">
        <x:v>Regional_Dex_Progression_Learnsets_v3.xlsx</x:v>
      </x:c>
    </x:row>
    <x:row r="78">
      <x:c r="A78" s="60" t="n">
        <x:v>75</x:v>
      </x:c>
      <x:c r="B78" s="60" t="n">
        <x:v>133</x:v>
      </x:c>
      <x:c r="C78" s="62" t="str">
        <x:v>Wadopot</x:v>
      </x:c>
      <x:c r="D78" s="62" t="n">
        <x:v>134</x:v>
      </x:c>
      <x:c r="E78" s="62" t="str">
        <x:v>Fetterpot</x:v>
      </x:c>
      <x:c r="F78" s="62" t="str">
        <x:v>LEVEL</x:v>
      </x:c>
      <x:c r="G78" s="62" t="n">
        <x:v>26</x:v>
      </x:c>
      <x:c r="H78" s="62" t="str"/>
      <x:c r="I78" s="60" t="n">
        <x:f>VLOOKUP(B78,'Full Dex + Growth'!$A$4:$R$190,11,FALSE)</x:f>
        <x:v>310</x:v>
      </x:c>
      <x:c r="J78" s="60" t="n">
        <x:f>VLOOKUP(D78,'Full Dex + Growth'!$A$4:$R$190,11,FALSE)</x:f>
        <x:v>515</x:v>
      </x:c>
      <x:c r="K78" s="60" t="n">
        <x:f>J78-I78</x:f>
        <x:v>205</x:v>
      </x:c>
      <x:c r="L78" s="66" t="n">
        <x:f>VLOOKUP(B78,'Full Dex + Growth'!$A$4:$R$190,18,FALSE)</x:f>
        <x:v>2.15</x:v>
      </x:c>
      <x:c r="M78" s="66" t="n">
        <x:f>VLOOKUP(D78,'Full Dex + Growth'!$A$4:$R$190,18,FALSE)</x:f>
        <x:v>3.25</x:v>
      </x:c>
      <x:c r="N78" s="66" t="n">
        <x:f>M78-L78</x:f>
        <x:v>1.1</x:v>
      </x:c>
      <x:c r="O78" s="66" t="n">
        <x:f>N78*4</x:f>
        <x:v>4.4</x:v>
      </x:c>
      <x:c r="P78" s="66" t="n">
        <x:f>N78*10</x:f>
        <x:v>11</x:v>
      </x:c>
      <x:c r="Q78" s="60" t="str">
        <x:f>IF(N78&gt;=0.9,"High",IF(N78&gt;=0.5,"Moderate","Low"))</x:f>
        <x:v>High</x:v>
      </x:c>
      <x:c r="R78" s="60" t="n">
        <x:v>26</x:v>
      </x:c>
      <x:c r="S78" s="60" t="str">
        <x:v>KEEP EXISTING</x:v>
      </x:c>
      <x:c r="T78" s="62" t="str">
        <x:f>IF(N78&gt;0,"Target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8" s="62" t="str">
        <x:v>Apply target base-stat minus source base-stat to each live stat once; no RNG at evolution.</x:v>
      </x:c>
      <x:c r="V78" s="62" t="str">
        <x:v>Regional_Dex_Progression_Learnsets_v3.xlsx</x:v>
      </x:c>
    </x:row>
    <x:row r="79">
      <x:c r="A79" s="60" t="n">
        <x:v>76</x:v>
      </x:c>
      <x:c r="B79" s="60" t="n">
        <x:v>135</x:v>
      </x:c>
      <x:c r="C79" s="62" t="str">
        <x:v>Pearlfrond</x:v>
      </x:c>
      <x:c r="D79" s="62" t="n">
        <x:v>136</x:v>
      </x:c>
      <x:c r="E79" s="62" t="str">
        <x:v>Regnacra</x:v>
      </x:c>
      <x:c r="F79" s="62" t="str">
        <x:v>LEVEL</x:v>
      </x:c>
      <x:c r="G79" s="62" t="n">
        <x:v>26</x:v>
      </x:c>
      <x:c r="H79" s="62" t="str"/>
      <x:c r="I79" s="60" t="n">
        <x:f>VLOOKUP(B79,'Full Dex + Growth'!$A$4:$R$190,11,FALSE)</x:f>
        <x:v>300</x:v>
      </x:c>
      <x:c r="J79" s="60" t="n">
        <x:f>VLOOKUP(D79,'Full Dex + Growth'!$A$4:$R$190,11,FALSE)</x:f>
        <x:v>510</x:v>
      </x:c>
      <x:c r="K79" s="60" t="n">
        <x:f>J79-I79</x:f>
        <x:v>210</x:v>
      </x:c>
      <x:c r="L79" s="66" t="n">
        <x:f>VLOOKUP(B79,'Full Dex + Growth'!$A$4:$R$190,18,FALSE)</x:f>
        <x:v>2.08</x:v>
      </x:c>
      <x:c r="M79" s="66" t="n">
        <x:f>VLOOKUP(D79,'Full Dex + Growth'!$A$4:$R$190,18,FALSE)</x:f>
        <x:v>3.07</x:v>
      </x:c>
      <x:c r="N79" s="66" t="n">
        <x:f>M79-L79</x:f>
        <x:v>0.9899999999999998</x:v>
      </x:c>
      <x:c r="O79" s="66" t="n">
        <x:f>N79*4</x:f>
        <x:v>3.959999999999999</x:v>
      </x:c>
      <x:c r="P79" s="66" t="n">
        <x:f>N79*10</x:f>
        <x:v>9.899999999999999</x:v>
      </x:c>
      <x:c r="Q79" s="60" t="str">
        <x:f>IF(N79&gt;=0.9,"High",IF(N79&gt;=0.5,"Moderate","Low"))</x:f>
        <x:v>High</x:v>
      </x:c>
      <x:c r="R79" s="60" t="n">
        <x:v>26</x:v>
      </x:c>
      <x:c r="S79" s="60" t="str">
        <x:v>KEEP EXISTING</x:v>
      </x:c>
      <x:c r="T79" s="62" t="str">
        <x:f>IF(N79&gt;0,"Target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79" s="62" t="str">
        <x:v>Apply target base-stat minus source base-stat to each live stat once; no RNG at evolution.</x:v>
      </x:c>
      <x:c r="V79" s="62" t="str">
        <x:v>Regional_Dex_Progression_Learnsets_v3.xlsx</x:v>
      </x:c>
    </x:row>
    <x:row r="80">
      <x:c r="A80" s="60" t="n">
        <x:v>77</x:v>
      </x:c>
      <x:c r="B80" s="60" t="n">
        <x:v>137</x:v>
      </x:c>
      <x:c r="C80" s="62" t="str">
        <x:v>Skatelk</x:v>
      </x:c>
      <x:c r="D80" s="62" t="n">
        <x:v>138</x:v>
      </x:c>
      <x:c r="E80" s="62" t="str">
        <x:v>Rimehart</x:v>
      </x:c>
      <x:c r="F80" s="62" t="str">
        <x:v>LEVEL</x:v>
      </x:c>
      <x:c r="G80" s="62" t="n">
        <x:v>26</x:v>
      </x:c>
      <x:c r="H80" s="62" t="str"/>
      <x:c r="I80" s="60" t="n">
        <x:f>VLOOKUP(B80,'Full Dex + Growth'!$A$4:$R$190,11,FALSE)</x:f>
        <x:v>300</x:v>
      </x:c>
      <x:c r="J80" s="60" t="n">
        <x:f>VLOOKUP(D80,'Full Dex + Growth'!$A$4:$R$190,11,FALSE)</x:f>
        <x:v>505</x:v>
      </x:c>
      <x:c r="K80" s="60" t="n">
        <x:f>J80-I80</x:f>
        <x:v>205</x:v>
      </x:c>
      <x:c r="L80" s="66" t="n">
        <x:f>VLOOKUP(B80,'Full Dex + Growth'!$A$4:$R$190,18,FALSE)</x:f>
        <x:v>2.02</x:v>
      </x:c>
      <x:c r="M80" s="66" t="n">
        <x:f>VLOOKUP(D80,'Full Dex + Growth'!$A$4:$R$190,18,FALSE)</x:f>
        <x:v>2.85</x:v>
      </x:c>
      <x:c r="N80" s="66" t="n">
        <x:f>M80-L80</x:f>
        <x:v>0.8300000000000001</x:v>
      </x:c>
      <x:c r="O80" s="66" t="n">
        <x:f>N80*4</x:f>
        <x:v>3.3200000000000003</x:v>
      </x:c>
      <x:c r="P80" s="66" t="n">
        <x:f>N80*10</x:f>
        <x:v>8.3</x:v>
      </x:c>
      <x:c r="Q80" s="60" t="str">
        <x:f>IF(N80&gt;=0.9,"High",IF(N80&gt;=0.5,"Moderate","Low"))</x:f>
        <x:v>Moderate</x:v>
      </x:c>
      <x:c r="R80" s="60" t="n">
        <x:v>26</x:v>
      </x:c>
      <x:c r="S80" s="60" t="str">
        <x:v>KEEP EXISTING</x:v>
      </x:c>
      <x:c r="T80" s="62" t="str">
        <x:f>IF(N80&gt;0,"Target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0" s="62" t="str">
        <x:v>Apply target base-stat minus source base-stat to each live stat once; no RNG at evolution.</x:v>
      </x:c>
      <x:c r="V80" s="62" t="str">
        <x:v>Regional_Dex_Progression_Learnsets_v3.xlsx</x:v>
      </x:c>
    </x:row>
    <x:row r="81">
      <x:c r="A81" s="60" t="n">
        <x:v>78</x:v>
      </x:c>
      <x:c r="B81" s="60" t="n">
        <x:v>139</x:v>
      </x:c>
      <x:c r="C81" s="62" t="str">
        <x:v>Reedile</x:v>
      </x:c>
      <x:c r="D81" s="62" t="n">
        <x:v>140</x:v>
      </x:c>
      <x:c r="E81" s="62" t="str">
        <x:v>Deltacroc</x:v>
      </x:c>
      <x:c r="F81" s="62" t="str">
        <x:v>LEVEL</x:v>
      </x:c>
      <x:c r="G81" s="62" t="n">
        <x:v>26</x:v>
      </x:c>
      <x:c r="H81" s="62" t="str"/>
      <x:c r="I81" s="60" t="n">
        <x:f>VLOOKUP(B81,'Full Dex + Growth'!$A$4:$R$190,11,FALSE)</x:f>
        <x:v>305</x:v>
      </x:c>
      <x:c r="J81" s="60" t="n">
        <x:f>VLOOKUP(D81,'Full Dex + Growth'!$A$4:$R$190,11,FALSE)</x:f>
        <x:v>505</x:v>
      </x:c>
      <x:c r="K81" s="60" t="n">
        <x:f>J81-I81</x:f>
        <x:v>200</x:v>
      </x:c>
      <x:c r="L81" s="66" t="n">
        <x:f>VLOOKUP(B81,'Full Dex + Growth'!$A$4:$R$190,18,FALSE)</x:f>
        <x:v>2.03</x:v>
      </x:c>
      <x:c r="M81" s="66" t="n">
        <x:f>VLOOKUP(D81,'Full Dex + Growth'!$A$4:$R$190,18,FALSE)</x:f>
        <x:v>2.78</x:v>
      </x:c>
      <x:c r="N81" s="66" t="n">
        <x:f>M81-L81</x:f>
        <x:v>0.75</x:v>
      </x:c>
      <x:c r="O81" s="66" t="n">
        <x:f>N81*4</x:f>
        <x:v>3</x:v>
      </x:c>
      <x:c r="P81" s="66" t="n">
        <x:f>N81*10</x:f>
        <x:v>7.5</x:v>
      </x:c>
      <x:c r="Q81" s="60" t="str">
        <x:f>IF(N81&gt;=0.9,"High",IF(N81&gt;=0.5,"Moderate","Low"))</x:f>
        <x:v>Moderate</x:v>
      </x:c>
      <x:c r="R81" s="60" t="n">
        <x:v>26</x:v>
      </x:c>
      <x:c r="S81" s="60" t="str">
        <x:v>KEEP EXISTING</x:v>
      </x:c>
      <x:c r="T81" s="62" t="str">
        <x:f>IF(N81&gt;0,"Target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1" s="62" t="str">
        <x:v>Apply target base-stat minus source base-stat to each live stat once; no RNG at evolution.</x:v>
      </x:c>
      <x:c r="V81" s="62" t="str">
        <x:v>Regional_Dex_Progression_Learnsets_v3.xlsx</x:v>
      </x:c>
    </x:row>
    <x:row r="82">
      <x:c r="A82" s="60" t="n">
        <x:v>79</x:v>
      </x:c>
      <x:c r="B82" s="60" t="n">
        <x:v>141</x:v>
      </x:c>
      <x:c r="C82" s="62" t="str">
        <x:v>Pilgrimp</x:v>
      </x:c>
      <x:c r="D82" s="62" t="n">
        <x:v>142</x:v>
      </x:c>
      <x:c r="E82" s="62" t="str">
        <x:v>Ganderiel</x:v>
      </x:c>
      <x:c r="F82" s="62" t="str">
        <x:v>ITEM</x:v>
      </x:c>
      <x:c r="G82" s="62" t="n">
        <x:v>28</x:v>
      </x:c>
      <x:c r="H82" s="62" t="str">
        <x:v>Wayfarer Feather</x:v>
      </x:c>
      <x:c r="I82" s="60" t="n">
        <x:f>VLOOKUP(B82,'Full Dex + Growth'!$A$4:$R$190,11,FALSE)</x:f>
        <x:v>300</x:v>
      </x:c>
      <x:c r="J82" s="60" t="n">
        <x:f>VLOOKUP(D82,'Full Dex + Growth'!$A$4:$R$190,11,FALSE)</x:f>
        <x:v>485</x:v>
      </x:c>
      <x:c r="K82" s="60" t="n">
        <x:f>J82-I82</x:f>
        <x:v>185</x:v>
      </x:c>
      <x:c r="L82" s="66" t="n">
        <x:f>VLOOKUP(B82,'Full Dex + Growth'!$A$4:$R$190,18,FALSE)</x:f>
        <x:v>1.92</x:v>
      </x:c>
      <x:c r="M82" s="66" t="n">
        <x:f>VLOOKUP(D82,'Full Dex + Growth'!$A$4:$R$190,18,FALSE)</x:f>
        <x:v>2.64</x:v>
      </x:c>
      <x:c r="N82" s="66" t="n">
        <x:f>M82-L82</x:f>
        <x:v>0.7200000000000002</x:v>
      </x:c>
      <x:c r="O82" s="66" t="n">
        <x:f>N82*4</x:f>
        <x:v>2.880000000000001</x:v>
      </x:c>
      <x:c r="P82" s="66" t="n">
        <x:f>N82*10</x:f>
        <x:v>7.200000000000002</x:v>
      </x:c>
      <x:c r="Q82" s="60" t="str">
        <x:f>IF(N82&gt;=0.9,"High",IF(N82&gt;=0.5,"Moderate","Low"))</x:f>
        <x:v>Moderate</x:v>
      </x:c>
      <x:c r="R82" s="60" t="n">
        <x:v>28</x:v>
      </x:c>
      <x:c r="S82" s="60" t="str">
        <x:v>KEEP EXISTING</x:v>
      </x:c>
      <x:c r="T82" s="62" t="str">
        <x:f>IF(N82&gt;0,"Target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2" s="62" t="str">
        <x:v>Apply target base-stat minus source base-stat to each live stat once; no RNG at evolution.</x:v>
      </x:c>
      <x:c r="V82" s="62" t="str">
        <x:v>Regional_Dex_Progression_Learnsets_v3.xlsx</x:v>
      </x:c>
    </x:row>
    <x:row r="83">
      <x:c r="A83" s="60" t="n">
        <x:v>80</x:v>
      </x:c>
      <x:c r="B83" s="60" t="n">
        <x:v>141</x:v>
      </x:c>
      <x:c r="C83" s="62" t="str">
        <x:v>Pilgrimp</x:v>
      </x:c>
      <x:c r="D83" s="62" t="n">
        <x:v>143</x:v>
      </x:c>
      <x:c r="E83" s="62" t="str">
        <x:v>Caproclaim</x:v>
      </x:c>
      <x:c r="F83" s="62" t="str">
        <x:v>ITEM</x:v>
      </x:c>
      <x:c r="G83" s="62" t="n">
        <x:v>28</x:v>
      </x:c>
      <x:c r="H83" s="62" t="str">
        <x:v>Pilgrim Bell</x:v>
      </x:c>
      <x:c r="I83" s="60" t="n">
        <x:f>VLOOKUP(B83,'Full Dex + Growth'!$A$4:$R$190,11,FALSE)</x:f>
        <x:v>300</x:v>
      </x:c>
      <x:c r="J83" s="60" t="n">
        <x:f>VLOOKUP(D83,'Full Dex + Growth'!$A$4:$R$190,11,FALSE)</x:f>
        <x:v>485</x:v>
      </x:c>
      <x:c r="K83" s="60" t="n">
        <x:f>J83-I83</x:f>
        <x:v>185</x:v>
      </x:c>
      <x:c r="L83" s="66" t="n">
        <x:f>VLOOKUP(B83,'Full Dex + Growth'!$A$4:$R$190,18,FALSE)</x:f>
        <x:v>1.92</x:v>
      </x:c>
      <x:c r="M83" s="66" t="n">
        <x:f>VLOOKUP(D83,'Full Dex + Growth'!$A$4:$R$190,18,FALSE)</x:f>
        <x:v>2.65</x:v>
      </x:c>
      <x:c r="N83" s="66" t="n">
        <x:f>M83-L83</x:f>
        <x:v>0.73</x:v>
      </x:c>
      <x:c r="O83" s="66" t="n">
        <x:f>N83*4</x:f>
        <x:v>2.92</x:v>
      </x:c>
      <x:c r="P83" s="66" t="n">
        <x:f>N83*10</x:f>
        <x:v>7.3</x:v>
      </x:c>
      <x:c r="Q83" s="60" t="str">
        <x:f>IF(N83&gt;=0.9,"High",IF(N83&gt;=0.5,"Moderate","Low"))</x:f>
        <x:v>Moderate</x:v>
      </x:c>
      <x:c r="R83" s="60" t="n">
        <x:v>28</x:v>
      </x:c>
      <x:c r="S83" s="60" t="str">
        <x:v>KEEP EXISTING</x:v>
      </x:c>
      <x:c r="T83" s="62" t="str">
        <x:f>IF(N83&gt;0,"Target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3" s="62" t="str">
        <x:v>Apply target base-stat minus source base-stat to each live stat once; no RNG at evolution.</x:v>
      </x:c>
      <x:c r="V83" s="62" t="str">
        <x:v>Regional_Dex_Progression_Learnsets_v3.xlsx</x:v>
      </x:c>
    </x:row>
    <x:row r="84">
      <x:c r="A84" s="60" t="n">
        <x:v>81</x:v>
      </x:c>
      <x:c r="B84" s="60" t="n">
        <x:v>144</x:v>
      </x:c>
      <x:c r="C84" s="62" t="str">
        <x:v>Dartfin</x:v>
      </x:c>
      <x:c r="D84" s="62" t="n">
        <x:v>145</x:v>
      </x:c>
      <x:c r="E84" s="62" t="str">
        <x:v>Lusivolt</x:v>
      </x:c>
      <x:c r="F84" s="62" t="str">
        <x:v>LEVEL</x:v>
      </x:c>
      <x:c r="G84" s="62" t="n">
        <x:v>26</x:v>
      </x:c>
      <x:c r="H84" s="62" t="str"/>
      <x:c r="I84" s="60" t="n">
        <x:f>VLOOKUP(B84,'Full Dex + Growth'!$A$4:$R$190,11,FALSE)</x:f>
        <x:v>290</x:v>
      </x:c>
      <x:c r="J84" s="60" t="n">
        <x:f>VLOOKUP(D84,'Full Dex + Growth'!$A$4:$R$190,11,FALSE)</x:f>
        <x:v>500</x:v>
      </x:c>
      <x:c r="K84" s="60" t="n">
        <x:f>J84-I84</x:f>
        <x:v>210</x:v>
      </x:c>
      <x:c r="L84" s="66" t="n">
        <x:f>VLOOKUP(B84,'Full Dex + Growth'!$A$4:$R$190,18,FALSE)</x:f>
        <x:v>2.19</x:v>
      </x:c>
      <x:c r="M84" s="66" t="n">
        <x:f>VLOOKUP(D84,'Full Dex + Growth'!$A$4:$R$190,18,FALSE)</x:f>
        <x:v>2.96</x:v>
      </x:c>
      <x:c r="N84" s="66" t="n">
        <x:f>M84-L84</x:f>
        <x:v>0.77</x:v>
      </x:c>
      <x:c r="O84" s="66" t="n">
        <x:f>N84*4</x:f>
        <x:v>3.08</x:v>
      </x:c>
      <x:c r="P84" s="66" t="n">
        <x:f>N84*10</x:f>
        <x:v>7.7</x:v>
      </x:c>
      <x:c r="Q84" s="60" t="str">
        <x:f>IF(N84&gt;=0.9,"High",IF(N84&gt;=0.5,"Moderate","Low"))</x:f>
        <x:v>Moderate</x:v>
      </x:c>
      <x:c r="R84" s="60" t="n">
        <x:v>26</x:v>
      </x:c>
      <x:c r="S84" s="60" t="str">
        <x:v>KEEP EXISTING</x:v>
      </x:c>
      <x:c r="T84" s="62" t="str">
        <x:f>IF(N84&gt;0,"Target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4" s="62" t="str">
        <x:v>Apply target base-stat minus source base-stat to each live stat once; no RNG at evolution.</x:v>
      </x:c>
      <x:c r="V84" s="62" t="str">
        <x:v>Regional_Dex_Progression_Learnsets_v3.xlsx</x:v>
      </x:c>
    </x:row>
    <x:row r="85">
      <x:c r="A85" s="60" t="n">
        <x:v>82</x:v>
      </x:c>
      <x:c r="B85" s="60" t="n">
        <x:v>146</x:v>
      </x:c>
      <x:c r="C85" s="62" t="str">
        <x:v>Fieflet</x:v>
      </x:c>
      <x:c r="D85" s="62" t="n">
        <x:v>147</x:v>
      </x:c>
      <x:c r="E85" s="62" t="str">
        <x:v>Pledrake</x:v>
      </x:c>
      <x:c r="F85" s="62" t="str">
        <x:v>LEVEL</x:v>
      </x:c>
      <x:c r="G85" s="62" t="n">
        <x:v>26</x:v>
      </x:c>
      <x:c r="H85" s="62" t="str"/>
      <x:c r="I85" s="60" t="n">
        <x:f>VLOOKUP(B85,'Full Dex + Growth'!$A$4:$R$190,11,FALSE)</x:f>
        <x:v>305</x:v>
      </x:c>
      <x:c r="J85" s="60" t="n">
        <x:f>VLOOKUP(D85,'Full Dex + Growth'!$A$4:$R$190,11,FALSE)</x:f>
        <x:v>530</x:v>
      </x:c>
      <x:c r="K85" s="60" t="n">
        <x:f>J85-I85</x:f>
        <x:v>225</x:v>
      </x:c>
      <x:c r="L85" s="66" t="n">
        <x:f>VLOOKUP(B85,'Full Dex + Growth'!$A$4:$R$190,18,FALSE)</x:f>
        <x:v>2.11</x:v>
      </x:c>
      <x:c r="M85" s="66" t="n">
        <x:f>VLOOKUP(D85,'Full Dex + Growth'!$A$4:$R$190,18,FALSE)</x:f>
        <x:v>2.8</x:v>
      </x:c>
      <x:c r="N85" s="66" t="n">
        <x:f>M85-L85</x:f>
        <x:v>0.69</x:v>
      </x:c>
      <x:c r="O85" s="66" t="n">
        <x:f>N85*4</x:f>
        <x:v>2.76</x:v>
      </x:c>
      <x:c r="P85" s="66" t="n">
        <x:f>N85*10</x:f>
        <x:v>6.8999999999999995</x:v>
      </x:c>
      <x:c r="Q85" s="60" t="str">
        <x:f>IF(N85&gt;=0.9,"High",IF(N85&gt;=0.5,"Moderate","Low"))</x:f>
        <x:v>Moderate</x:v>
      </x:c>
      <x:c r="R85" s="60" t="n">
        <x:v>26</x:v>
      </x:c>
      <x:c r="S85" s="60" t="str">
        <x:v>KEEP EXISTING</x:v>
      </x:c>
      <x:c r="T85" s="62" t="str">
        <x:f>IF(N85&gt;0,"Target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5" s="62" t="str">
        <x:v>Apply target base-stat minus source base-stat to each live stat once; no RNG at evolution.</x:v>
      </x:c>
      <x:c r="V85" s="62" t="str">
        <x:v>Regional_Dex_Progression_Learnsets_v3.xlsx</x:v>
      </x:c>
    </x:row>
    <x:row r="86">
      <x:c r="A86" s="60" t="n">
        <x:v>83</x:v>
      </x:c>
      <x:c r="B86" s="60" t="n">
        <x:v>148</x:v>
      </x:c>
      <x:c r="C86" s="62" t="str">
        <x:v>Decimite</x:v>
      </x:c>
      <x:c r="D86" s="62" t="n">
        <x:v>149</x:v>
      </x:c>
      <x:c r="E86" s="62" t="str">
        <x:v>Tithelect</x:v>
      </x:c>
      <x:c r="F86" s="62" t="str">
        <x:v>LEVEL</x:v>
      </x:c>
      <x:c r="G86" s="62" t="n">
        <x:v>26</x:v>
      </x:c>
      <x:c r="H86" s="62" t="str"/>
      <x:c r="I86" s="60" t="n">
        <x:f>VLOOKUP(B86,'Full Dex + Growth'!$A$4:$R$190,11,FALSE)</x:f>
        <x:v>290</x:v>
      </x:c>
      <x:c r="J86" s="60" t="n">
        <x:f>VLOOKUP(D86,'Full Dex + Growth'!$A$4:$R$190,11,FALSE)</x:f>
        <x:v>495</x:v>
      </x:c>
      <x:c r="K86" s="60" t="n">
        <x:f>J86-I86</x:f>
        <x:v>205</x:v>
      </x:c>
      <x:c r="L86" s="66" t="n">
        <x:f>VLOOKUP(B86,'Full Dex + Growth'!$A$4:$R$190,18,FALSE)</x:f>
        <x:v>1.95</x:v>
      </x:c>
      <x:c r="M86" s="66" t="n">
        <x:f>VLOOKUP(D86,'Full Dex + Growth'!$A$4:$R$190,18,FALSE)</x:f>
        <x:v>2.74</x:v>
      </x:c>
      <x:c r="N86" s="66" t="n">
        <x:f>M86-L86</x:f>
        <x:v>0.7900000000000003</x:v>
      </x:c>
      <x:c r="O86" s="66" t="n">
        <x:f>N86*4</x:f>
        <x:v>3.160000000000001</x:v>
      </x:c>
      <x:c r="P86" s="66" t="n">
        <x:f>N86*10</x:f>
        <x:v>7.900000000000002</x:v>
      </x:c>
      <x:c r="Q86" s="60" t="str">
        <x:f>IF(N86&gt;=0.9,"High",IF(N86&gt;=0.5,"Moderate","Low"))</x:f>
        <x:v>Moderate</x:v>
      </x:c>
      <x:c r="R86" s="60" t="n">
        <x:v>26</x:v>
      </x:c>
      <x:c r="S86" s="60" t="str">
        <x:v>KEEP EXISTING</x:v>
      </x:c>
      <x:c r="T86" s="62" t="str">
        <x:f>IF(N86&gt;0,"Target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6" s="62" t="str">
        <x:v>Apply target base-stat minus source base-stat to each live stat once; no RNG at evolution.</x:v>
      </x:c>
      <x:c r="V86" s="62" t="str">
        <x:v>Regional_Dex_Progression_Learnsets_v3.xlsx</x:v>
      </x:c>
    </x:row>
    <x:row r="87">
      <x:c r="A87" s="60" t="n">
        <x:v>84</x:v>
      </x:c>
      <x:c r="B87" s="60" t="n">
        <x:v>150</x:v>
      </x:c>
      <x:c r="C87" s="62" t="str">
        <x:v>Lyrlet</x:v>
      </x:c>
      <x:c r="D87" s="62" t="n">
        <x:v>151</x:v>
      </x:c>
      <x:c r="E87" s="62" t="str">
        <x:v>Aquilore</x:v>
      </x:c>
      <x:c r="F87" s="62" t="str">
        <x:v>LEVEL</x:v>
      </x:c>
      <x:c r="G87" s="62" t="n">
        <x:v>26</x:v>
      </x:c>
      <x:c r="H87" s="62" t="str"/>
      <x:c r="I87" s="60" t="n">
        <x:f>VLOOKUP(B87,'Full Dex + Growth'!$A$4:$R$190,11,FALSE)</x:f>
        <x:v>305</x:v>
      </x:c>
      <x:c r="J87" s="60" t="n">
        <x:f>VLOOKUP(D87,'Full Dex + Growth'!$A$4:$R$190,11,FALSE)</x:f>
        <x:v>535</x:v>
      </x:c>
      <x:c r="K87" s="60" t="n">
        <x:f>J87-I87</x:f>
        <x:v>230</x:v>
      </x:c>
      <x:c r="L87" s="66" t="n">
        <x:f>VLOOKUP(B87,'Full Dex + Growth'!$A$4:$R$190,18,FALSE)</x:f>
        <x:v>2.17</x:v>
      </x:c>
      <x:c r="M87" s="66" t="n">
        <x:f>VLOOKUP(D87,'Full Dex + Growth'!$A$4:$R$190,18,FALSE)</x:f>
        <x:v>2.92</x:v>
      </x:c>
      <x:c r="N87" s="66" t="n">
        <x:f>M87-L87</x:f>
        <x:v>0.75</x:v>
      </x:c>
      <x:c r="O87" s="66" t="n">
        <x:f>N87*4</x:f>
        <x:v>3</x:v>
      </x:c>
      <x:c r="P87" s="66" t="n">
        <x:f>N87*10</x:f>
        <x:v>7.5</x:v>
      </x:c>
      <x:c r="Q87" s="60" t="str">
        <x:f>IF(N87&gt;=0.9,"High",IF(N87&gt;=0.5,"Moderate","Low"))</x:f>
        <x:v>Moderate</x:v>
      </x:c>
      <x:c r="R87" s="60" t="n">
        <x:v>26</x:v>
      </x:c>
      <x:c r="S87" s="60" t="str">
        <x:v>KEEP EXISTING</x:v>
      </x:c>
      <x:c r="T87" s="62" t="str">
        <x:f>IF(N87&gt;0,"Target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7" s="62" t="str">
        <x:v>Apply target base-stat minus source base-stat to each live stat once; no RNG at evolution.</x:v>
      </x:c>
      <x:c r="V87" s="62" t="str">
        <x:v>Regional_Dex_Progression_Learnsets_v3.xlsx</x:v>
      </x:c>
    </x:row>
    <x:row r="88">
      <x:c r="A88" s="60" t="n">
        <x:v>85</x:v>
      </x:c>
      <x:c r="B88" s="60" t="n">
        <x:v>152</x:v>
      </x:c>
      <x:c r="C88" s="62" t="str">
        <x:v>Acremink</x:v>
      </x:c>
      <x:c r="D88" s="62" t="n">
        <x:v>153</x:v>
      </x:c>
      <x:c r="E88" s="62" t="str">
        <x:v>Longspurr</x:v>
      </x:c>
      <x:c r="F88" s="62" t="str">
        <x:v>ITEM</x:v>
      </x:c>
      <x:c r="G88" s="62" t="n">
        <x:v>28</x:v>
      </x:c>
      <x:c r="H88" s="62" t="str">
        <x:v>Trial Toxin</x:v>
      </x:c>
      <x:c r="I88" s="60" t="n">
        <x:f>VLOOKUP(B88,'Full Dex + Growth'!$A$4:$R$190,11,FALSE)</x:f>
        <x:v>305</x:v>
      </x:c>
      <x:c r="J88" s="60" t="n">
        <x:f>VLOOKUP(D88,'Full Dex + Growth'!$A$4:$R$190,11,FALSE)</x:f>
        <x:v>500</x:v>
      </x:c>
      <x:c r="K88" s="60" t="n">
        <x:f>J88-I88</x:f>
        <x:v>195</x:v>
      </x:c>
      <x:c r="L88" s="66" t="n">
        <x:f>VLOOKUP(B88,'Full Dex + Growth'!$A$4:$R$190,18,FALSE)</x:f>
        <x:v>2.01</x:v>
      </x:c>
      <x:c r="M88" s="66" t="n">
        <x:f>VLOOKUP(D88,'Full Dex + Growth'!$A$4:$R$190,18,FALSE)</x:f>
        <x:v>2.79</x:v>
      </x:c>
      <x:c r="N88" s="66" t="n">
        <x:f>M88-L88</x:f>
        <x:v>0.7800000000000002</x:v>
      </x:c>
      <x:c r="O88" s="66" t="n">
        <x:f>N88*4</x:f>
        <x:v>3.120000000000001</x:v>
      </x:c>
      <x:c r="P88" s="66" t="n">
        <x:f>N88*10</x:f>
        <x:v>7.8000000000000025</x:v>
      </x:c>
      <x:c r="Q88" s="60" t="str">
        <x:f>IF(N88&gt;=0.9,"High",IF(N88&gt;=0.5,"Moderate","Low"))</x:f>
        <x:v>Moderate</x:v>
      </x:c>
      <x:c r="R88" s="60" t="n">
        <x:v>28</x:v>
      </x:c>
      <x:c r="S88" s="60" t="str">
        <x:v>KEEP EXISTING</x:v>
      </x:c>
      <x:c r="T88" s="62" t="str">
        <x:f>IF(N88&gt;0,"Target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8" s="62" t="str">
        <x:v>Apply target base-stat minus source base-stat to each live stat once; no RNG at evolution.</x:v>
      </x:c>
      <x:c r="V88" s="62" t="str">
        <x:v>Regional_Dex_Progression_Learnsets_v3.xlsx</x:v>
      </x:c>
    </x:row>
    <x:row r="89">
      <x:c r="A89" s="60" t="n">
        <x:v>86</x:v>
      </x:c>
      <x:c r="B89" s="60" t="n">
        <x:v>152</x:v>
      </x:c>
      <x:c r="C89" s="62" t="str">
        <x:v>Acremink</x:v>
      </x:c>
      <x:c r="D89" s="62" t="n">
        <x:v>154</x:v>
      </x:c>
      <x:c r="E89" s="62" t="str">
        <x:v>Elixirine</x:v>
      </x:c>
      <x:c r="F89" s="62" t="str">
        <x:v>ITEM</x:v>
      </x:c>
      <x:c r="G89" s="62" t="n">
        <x:v>28</x:v>
      </x:c>
      <x:c r="H89" s="62" t="str">
        <x:v>Saint's Tonic</x:v>
      </x:c>
      <x:c r="I89" s="60" t="n">
        <x:f>VLOOKUP(B89,'Full Dex + Growth'!$A$4:$R$190,11,FALSE)</x:f>
        <x:v>305</x:v>
      </x:c>
      <x:c r="J89" s="60" t="n">
        <x:f>VLOOKUP(D89,'Full Dex + Growth'!$A$4:$R$190,11,FALSE)</x:f>
        <x:v>500</x:v>
      </x:c>
      <x:c r="K89" s="60" t="n">
        <x:f>J89-I89</x:f>
        <x:v>195</x:v>
      </x:c>
      <x:c r="L89" s="66" t="n">
        <x:f>VLOOKUP(B89,'Full Dex + Growth'!$A$4:$R$190,18,FALSE)</x:f>
        <x:v>2.01</x:v>
      </x:c>
      <x:c r="M89" s="66" t="n">
        <x:f>VLOOKUP(D89,'Full Dex + Growth'!$A$4:$R$190,18,FALSE)</x:f>
        <x:v>2.79</x:v>
      </x:c>
      <x:c r="N89" s="66" t="n">
        <x:f>M89-L89</x:f>
        <x:v>0.7800000000000002</x:v>
      </x:c>
      <x:c r="O89" s="66" t="n">
        <x:f>N89*4</x:f>
        <x:v>3.120000000000001</x:v>
      </x:c>
      <x:c r="P89" s="66" t="n">
        <x:f>N89*10</x:f>
        <x:v>7.8000000000000025</x:v>
      </x:c>
      <x:c r="Q89" s="60" t="str">
        <x:f>IF(N89&gt;=0.9,"High",IF(N89&gt;=0.5,"Moderate","Low"))</x:f>
        <x:v>Moderate</x:v>
      </x:c>
      <x:c r="R89" s="60" t="n">
        <x:v>28</x:v>
      </x:c>
      <x:c r="S89" s="60" t="str">
        <x:v>KEEP EXISTING</x:v>
      </x:c>
      <x:c r="T89" s="62" t="str">
        <x:f>IF(N89&gt;0,"Target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89" s="62" t="str">
        <x:v>Apply target base-stat minus source base-stat to each live stat once; no RNG at evolution.</x:v>
      </x:c>
      <x:c r="V89" s="62" t="str">
        <x:v>Regional_Dex_Progression_Learnsets_v3.xlsx</x:v>
      </x:c>
    </x:row>
    <x:row r="90">
      <x:c r="A90" s="60" t="n">
        <x:v>87</x:v>
      </x:c>
      <x:c r="B90" s="60" t="n">
        <x:v>155</x:v>
      </x:c>
      <x:c r="C90" s="62" t="str">
        <x:v>Lanspup</x:v>
      </x:c>
      <x:c r="D90" s="62" t="n">
        <x:v>156</x:v>
      </x:c>
      <x:c r="E90" s="62" t="str">
        <x:v>Dirgehound</x:v>
      </x:c>
      <x:c r="F90" s="62" t="str">
        <x:v>LEVEL</x:v>
      </x:c>
      <x:c r="G90" s="62" t="n">
        <x:v>26</x:v>
      </x:c>
      <x:c r="H90" s="62" t="str"/>
      <x:c r="I90" s="60" t="n">
        <x:f>VLOOKUP(B90,'Full Dex + Growth'!$A$4:$R$190,11,FALSE)</x:f>
        <x:v>300</x:v>
      </x:c>
      <x:c r="J90" s="60" t="n">
        <x:f>VLOOKUP(D90,'Full Dex + Growth'!$A$4:$R$190,11,FALSE)</x:f>
        <x:v>505</x:v>
      </x:c>
      <x:c r="K90" s="60" t="n">
        <x:f>J90-I90</x:f>
        <x:v>205</x:v>
      </x:c>
      <x:c r="L90" s="66" t="n">
        <x:f>VLOOKUP(B90,'Full Dex + Growth'!$A$4:$R$190,18,FALSE)</x:f>
        <x:v>2.14</x:v>
      </x:c>
      <x:c r="M90" s="66" t="n">
        <x:f>VLOOKUP(D90,'Full Dex + Growth'!$A$4:$R$190,18,FALSE)</x:f>
        <x:v>3.01</x:v>
      </x:c>
      <x:c r="N90" s="66" t="n">
        <x:f>M90-L90</x:f>
        <x:v>0.8699999999999997</x:v>
      </x:c>
      <x:c r="O90" s="66" t="n">
        <x:f>N90*4</x:f>
        <x:v>3.4799999999999986</x:v>
      </x:c>
      <x:c r="P90" s="66" t="n">
        <x:f>N90*10</x:f>
        <x:v>8.699999999999996</x:v>
      </x:c>
      <x:c r="Q90" s="60" t="str">
        <x:f>IF(N90&gt;=0.9,"High",IF(N90&gt;=0.5,"Moderate","Low"))</x:f>
        <x:v>Moderate</x:v>
      </x:c>
      <x:c r="R90" s="60" t="n">
        <x:v>26</x:v>
      </x:c>
      <x:c r="S90" s="60" t="str">
        <x:v>KEEP EXISTING</x:v>
      </x:c>
      <x:c r="T90" s="62" t="str">
        <x:f>IF(N90&gt;0,"Target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0" s="62" t="str">
        <x:v>Apply target base-stat minus source base-stat to each live stat once; no RNG at evolution.</x:v>
      </x:c>
      <x:c r="V90" s="62" t="str">
        <x:v>Regional_Dex_Progression_Learnsets_v3.xlsx</x:v>
      </x:c>
    </x:row>
    <x:row r="91">
      <x:c r="A91" s="60" t="n">
        <x:v>88</x:v>
      </x:c>
      <x:c r="B91" s="60" t="n">
        <x:v>157</x:v>
      </x:c>
      <x:c r="C91" s="62" t="str">
        <x:v>Choughlet</x:v>
      </x:c>
      <x:c r="D91" s="62" t="n">
        <x:v>158</x:v>
      </x:c>
      <x:c r="E91" s="62" t="str">
        <x:v>Ascalough</x:v>
      </x:c>
      <x:c r="F91" s="62" t="str">
        <x:v>LEVEL</x:v>
      </x:c>
      <x:c r="G91" s="62" t="n">
        <x:v>26</x:v>
      </x:c>
      <x:c r="H91" s="62" t="str"/>
      <x:c r="I91" s="60" t="n">
        <x:f>VLOOKUP(B91,'Full Dex + Growth'!$A$4:$R$190,11,FALSE)</x:f>
        <x:v>295</x:v>
      </x:c>
      <x:c r="J91" s="60" t="n">
        <x:f>VLOOKUP(D91,'Full Dex + Growth'!$A$4:$R$190,11,FALSE)</x:f>
        <x:v>495</x:v>
      </x:c>
      <x:c r="K91" s="60" t="n">
        <x:f>J91-I91</x:f>
        <x:v>200</x:v>
      </x:c>
      <x:c r="L91" s="66" t="n">
        <x:f>VLOOKUP(B91,'Full Dex + Growth'!$A$4:$R$190,18,FALSE)</x:f>
        <x:v>1.98</x:v>
      </x:c>
      <x:c r="M91" s="66" t="n">
        <x:f>VLOOKUP(D91,'Full Dex + Growth'!$A$4:$R$190,18,FALSE)</x:f>
        <x:v>2.67</x:v>
      </x:c>
      <x:c r="N91" s="66" t="n">
        <x:f>M91-L91</x:f>
        <x:v>0.69</x:v>
      </x:c>
      <x:c r="O91" s="66" t="n">
        <x:f>N91*4</x:f>
        <x:v>2.76</x:v>
      </x:c>
      <x:c r="P91" s="66" t="n">
        <x:f>N91*10</x:f>
        <x:v>6.8999999999999995</x:v>
      </x:c>
      <x:c r="Q91" s="60" t="str">
        <x:f>IF(N91&gt;=0.9,"High",IF(N91&gt;=0.5,"Moderate","Low"))</x:f>
        <x:v>Moderate</x:v>
      </x:c>
      <x:c r="R91" s="60" t="n">
        <x:v>26</x:v>
      </x:c>
      <x:c r="S91" s="60" t="str">
        <x:v>KEEP EXISTING</x:v>
      </x:c>
      <x:c r="T91" s="62" t="str">
        <x:f>IF(N91&gt;0,"Target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1" s="62" t="str">
        <x:v>Apply target base-stat minus source base-stat to each live stat once; no RNG at evolution.</x:v>
      </x:c>
      <x:c r="V91" s="62" t="str">
        <x:v>Regional_Dex_Progression_Learnsets_v3.xlsx</x:v>
      </x:c>
    </x:row>
    <x:row r="92">
      <x:c r="A92" s="60" t="n">
        <x:v>89</x:v>
      </x:c>
      <x:c r="B92" s="60" t="n">
        <x:v>160</x:v>
      </x:c>
      <x:c r="C92" s="62" t="str">
        <x:v>Vowcolt</x:v>
      </x:c>
      <x:c r="D92" s="62" t="n">
        <x:v>161</x:v>
      </x:c>
      <x:c r="E92" s="62" t="str">
        <x:v>Oathcourser</x:v>
      </x:c>
      <x:c r="F92" s="62" t="str">
        <x:v>LEVEL</x:v>
      </x:c>
      <x:c r="G92" s="62" t="n">
        <x:v>26</x:v>
      </x:c>
      <x:c r="H92" s="62" t="str"/>
      <x:c r="I92" s="60" t="n">
        <x:f>VLOOKUP(B92,'Full Dex + Growth'!$A$4:$R$190,11,FALSE)</x:f>
        <x:v>305</x:v>
      </x:c>
      <x:c r="J92" s="60" t="n">
        <x:f>VLOOKUP(D92,'Full Dex + Growth'!$A$4:$R$190,11,FALSE)</x:f>
        <x:v>505</x:v>
      </x:c>
      <x:c r="K92" s="60" t="n">
        <x:f>J92-I92</x:f>
        <x:v>200</x:v>
      </x:c>
      <x:c r="L92" s="66" t="n">
        <x:f>VLOOKUP(B92,'Full Dex + Growth'!$A$4:$R$190,18,FALSE)</x:f>
        <x:v>2.05</x:v>
      </x:c>
      <x:c r="M92" s="66" t="n">
        <x:f>VLOOKUP(D92,'Full Dex + Growth'!$A$4:$R$190,18,FALSE)</x:f>
        <x:v>2.83</x:v>
      </x:c>
      <x:c r="N92" s="66" t="n">
        <x:f>M92-L92</x:f>
        <x:v>0.7800000000000002</x:v>
      </x:c>
      <x:c r="O92" s="66" t="n">
        <x:f>N92*4</x:f>
        <x:v>3.120000000000001</x:v>
      </x:c>
      <x:c r="P92" s="66" t="n">
        <x:f>N92*10</x:f>
        <x:v>7.8000000000000025</x:v>
      </x:c>
      <x:c r="Q92" s="60" t="str">
        <x:f>IF(N92&gt;=0.9,"High",IF(N92&gt;=0.5,"Moderate","Low"))</x:f>
        <x:v>Moderate</x:v>
      </x:c>
      <x:c r="R92" s="60" t="n">
        <x:v>26</x:v>
      </x:c>
      <x:c r="S92" s="60" t="str">
        <x:v>KEEP EXISTING</x:v>
      </x:c>
      <x:c r="T92" s="62" t="str">
        <x:f>IF(N92&gt;0,"Target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2" s="62" t="str">
        <x:v>Apply target base-stat minus source base-stat to each live stat once; no RNG at evolution.</x:v>
      </x:c>
      <x:c r="V92" s="62" t="str">
        <x:v>Regional_Dex_Progression_Learnsets_v3.xlsx</x:v>
      </x:c>
    </x:row>
    <x:row r="93">
      <x:c r="A93" s="60" t="n">
        <x:v>90</x:v>
      </x:c>
      <x:c r="B93" s="60" t="n">
        <x:v>162</x:v>
      </x:c>
      <x:c r="C93" s="62" t="str">
        <x:v>Chantlet</x:v>
      </x:c>
      <x:c r="D93" s="62" t="n">
        <x:v>163</x:v>
      </x:c>
      <x:c r="E93" s="62" t="str">
        <x:v>Sarumoss</x:v>
      </x:c>
      <x:c r="F93" s="62" t="str">
        <x:v>LEVEL</x:v>
      </x:c>
      <x:c r="G93" s="62" t="n">
        <x:v>26</x:v>
      </x:c>
      <x:c r="H93" s="62" t="str"/>
      <x:c r="I93" s="60" t="n">
        <x:f>VLOOKUP(B93,'Full Dex + Growth'!$A$4:$R$190,11,FALSE)</x:f>
        <x:v>285</x:v>
      </x:c>
      <x:c r="J93" s="60" t="n">
        <x:f>VLOOKUP(D93,'Full Dex + Growth'!$A$4:$R$190,11,FALSE)</x:f>
        <x:v>480</x:v>
      </x:c>
      <x:c r="K93" s="60" t="n">
        <x:f>J93-I93</x:f>
        <x:v>195</x:v>
      </x:c>
      <x:c r="L93" s="66" t="n">
        <x:f>VLOOKUP(B93,'Full Dex + Growth'!$A$4:$R$190,18,FALSE)</x:f>
        <x:v>2.1</x:v>
      </x:c>
      <x:c r="M93" s="66" t="n">
        <x:f>VLOOKUP(D93,'Full Dex + Growth'!$A$4:$R$190,18,FALSE)</x:f>
        <x:v>2.71</x:v>
      </x:c>
      <x:c r="N93" s="66" t="n">
        <x:f>M93-L93</x:f>
        <x:v>0.6099999999999999</x:v>
      </x:c>
      <x:c r="O93" s="66" t="n">
        <x:f>N93*4</x:f>
        <x:v>2.4399999999999995</x:v>
      </x:c>
      <x:c r="P93" s="66" t="n">
        <x:f>N93*10</x:f>
        <x:v>6.099999999999999</x:v>
      </x:c>
      <x:c r="Q93" s="60" t="str">
        <x:f>IF(N93&gt;=0.9,"High",IF(N93&gt;=0.5,"Moderate","Low"))</x:f>
        <x:v>Moderate</x:v>
      </x:c>
      <x:c r="R93" s="60" t="n">
        <x:v>26</x:v>
      </x:c>
      <x:c r="S93" s="60" t="str">
        <x:v>KEEP EXISTING</x:v>
      </x:c>
      <x:c r="T93" s="62" t="str">
        <x:f>IF(N93&gt;0,"Target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3" s="62" t="str">
        <x:v>Apply target base-stat minus source base-stat to each live stat once; no RNG at evolution.</x:v>
      </x:c>
      <x:c r="V93" s="62" t="str">
        <x:v>Regional_Dex_Progression_Learnsets_v3.xlsx</x:v>
      </x:c>
    </x:row>
    <x:row r="94">
      <x:c r="A94" s="60" t="n">
        <x:v>91</x:v>
      </x:c>
      <x:c r="B94" s="60" t="n">
        <x:v>167</x:v>
      </x:c>
      <x:c r="C94" s="62" t="str">
        <x:v>Dustisk</x:v>
      </x:c>
      <x:c r="D94" s="62" t="n">
        <x:v>168</x:v>
      </x:c>
      <x:c r="E94" s="62" t="str">
        <x:v>Cairisk</x:v>
      </x:c>
      <x:c r="F94" s="62" t="str">
        <x:v>LEVEL</x:v>
      </x:c>
      <x:c r="G94" s="62" t="n">
        <x:v>30</x:v>
      </x:c>
      <x:c r="H94" s="62" t="str"/>
      <x:c r="I94" s="60" t="n">
        <x:f>VLOOKUP(B94,'Full Dex + Growth'!$A$4:$R$190,11,FALSE)</x:f>
        <x:v>300</x:v>
      </x:c>
      <x:c r="J94" s="60" t="n">
        <x:f>VLOOKUP(D94,'Full Dex + Growth'!$A$4:$R$190,11,FALSE)</x:f>
        <x:v>420</x:v>
      </x:c>
      <x:c r="K94" s="60" t="n">
        <x:f>J94-I94</x:f>
        <x:v>120</x:v>
      </x:c>
      <x:c r="L94" s="66" t="n">
        <x:f>VLOOKUP(B94,'Full Dex + Growth'!$A$4:$R$190,18,FALSE)</x:f>
        <x:v>2.02</x:v>
      </x:c>
      <x:c r="M94" s="66" t="n">
        <x:f>VLOOKUP(D94,'Full Dex + Growth'!$A$4:$R$190,18,FALSE)</x:f>
        <x:v>2.44</x:v>
      </x:c>
      <x:c r="N94" s="66" t="n">
        <x:f>M94-L94</x:f>
        <x:v>0.41999999999999993</x:v>
      </x:c>
      <x:c r="O94" s="66" t="n">
        <x:f>N94*4</x:f>
        <x:v>1.6799999999999997</x:v>
      </x:c>
      <x:c r="P94" s="66" t="n">
        <x:f>N94*10</x:f>
        <x:v>4.199999999999999</x:v>
      </x:c>
      <x:c r="Q94" s="60" t="str">
        <x:f>IF(N94&gt;=0.9,"High",IF(N94&gt;=0.5,"Moderate","Low"))</x:f>
        <x:v>Low</x:v>
      </x:c>
      <x:c r="R94" s="60" t="n">
        <x:v>30</x:v>
      </x:c>
      <x:c r="S94" s="60" t="str">
        <x:v>KEEP EXISTING</x:v>
      </x:c>
      <x:c r="T94" s="62" t="str">
        <x:f>IF(N94&gt;0,"Target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4" s="62" t="str">
        <x:v>Apply target base-stat minus source base-stat to each live stat once; no RNG at evolution.</x:v>
      </x:c>
      <x:c r="V94" s="62" t="str">
        <x:v>Regional_Dex_Progression_Learnsets_v3.xlsx</x:v>
      </x:c>
    </x:row>
    <x:row r="95">
      <x:c r="A95" s="60" t="n">
        <x:v>92</x:v>
      </x:c>
      <x:c r="B95" s="60" t="n">
        <x:v>168</x:v>
      </x:c>
      <x:c r="C95" s="62" t="str">
        <x:v>Cairisk</x:v>
      </x:c>
      <x:c r="D95" s="62" t="n">
        <x:v>169</x:v>
      </x:c>
      <x:c r="E95" s="62" t="str">
        <x:v>Mausolisk</x:v>
      </x:c>
      <x:c r="F95" s="62" t="str">
        <x:v>LEVEL</x:v>
      </x:c>
      <x:c r="G95" s="62" t="n">
        <x:v>50</x:v>
      </x:c>
      <x:c r="H95" s="62" t="str"/>
      <x:c r="I95" s="60" t="n">
        <x:f>VLOOKUP(B95,'Full Dex + Growth'!$A$4:$R$190,11,FALSE)</x:f>
        <x:v>420</x:v>
      </x:c>
      <x:c r="J95" s="60" t="n">
        <x:f>VLOOKUP(D95,'Full Dex + Growth'!$A$4:$R$190,11,FALSE)</x:f>
        <x:v>600</x:v>
      </x:c>
      <x:c r="K95" s="60" t="n">
        <x:f>J95-I95</x:f>
        <x:v>180</x:v>
      </x:c>
      <x:c r="L95" s="66" t="n">
        <x:f>VLOOKUP(B95,'Full Dex + Growth'!$A$4:$R$190,18,FALSE)</x:f>
        <x:v>2.44</x:v>
      </x:c>
      <x:c r="M95" s="66" t="n">
        <x:f>VLOOKUP(D95,'Full Dex + Growth'!$A$4:$R$190,18,FALSE)</x:f>
        <x:v>3.33</x:v>
      </x:c>
      <x:c r="N95" s="66" t="n">
        <x:f>M95-L95</x:f>
        <x:v>0.8900000000000001</x:v>
      </x:c>
      <x:c r="O95" s="66" t="n">
        <x:f>N95*4</x:f>
        <x:v>3.5600000000000005</x:v>
      </x:c>
      <x:c r="P95" s="66" t="n">
        <x:f>N95*10</x:f>
        <x:v>8.900000000000002</x:v>
      </x:c>
      <x:c r="Q95" s="60" t="str">
        <x:f>IF(N95&gt;=0.9,"High",IF(N95&gt;=0.5,"Moderate","Low"))</x:f>
        <x:v>Moderate</x:v>
      </x:c>
      <x:c r="R95" s="60" t="n">
        <x:v>50</x:v>
      </x:c>
      <x:c r="S95" s="60" t="str">
        <x:v>KEEP EXISTING</x:v>
      </x:c>
      <x:c r="T95" s="62" t="str">
        <x:f>IF(N95&gt;0,"Target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5" s="62" t="str">
        <x:v>Apply target base-stat minus source base-stat to each live stat once; no RNG at evolution.</x:v>
      </x:c>
      <x:c r="V95" s="62" t="str">
        <x:v>Regional_Dex_Progression_Learnsets_v3.xlsx</x:v>
      </x:c>
    </x:row>
    <x:row r="96">
      <x:c r="A96" s="60" t="n">
        <x:v>93</x:v>
      </x:c>
      <x:c r="B96" s="60" t="n">
        <x:v>170</x:v>
      </x:c>
      <x:c r="C96" s="62" t="str">
        <x:v>Chipkid</x:v>
      </x:c>
      <x:c r="D96" s="62" t="n">
        <x:v>171</x:v>
      </x:c>
      <x:c r="E96" s="62" t="str">
        <x:v>Rimebex</x:v>
      </x:c>
      <x:c r="F96" s="62" t="str">
        <x:v>LEVEL</x:v>
      </x:c>
      <x:c r="G96" s="62" t="n">
        <x:v>30</x:v>
      </x:c>
      <x:c r="H96" s="62" t="str"/>
      <x:c r="I96" s="60" t="n">
        <x:f>VLOOKUP(B96,'Full Dex + Growth'!$A$4:$R$190,11,FALSE)</x:f>
        <x:v>300</x:v>
      </x:c>
      <x:c r="J96" s="60" t="n">
        <x:f>VLOOKUP(D96,'Full Dex + Growth'!$A$4:$R$190,11,FALSE)</x:f>
        <x:v>420</x:v>
      </x:c>
      <x:c r="K96" s="60" t="n">
        <x:f>J96-I96</x:f>
        <x:v>120</x:v>
      </x:c>
      <x:c r="L96" s="66" t="n">
        <x:f>VLOOKUP(B96,'Full Dex + Growth'!$A$4:$R$190,18,FALSE)</x:f>
        <x:v>2.04</x:v>
      </x:c>
      <x:c r="M96" s="66" t="n">
        <x:f>VLOOKUP(D96,'Full Dex + Growth'!$A$4:$R$190,18,FALSE)</x:f>
        <x:v>2.53</x:v>
      </x:c>
      <x:c r="N96" s="66" t="n">
        <x:f>M96-L96</x:f>
        <x:v>0.48999999999999977</x:v>
      </x:c>
      <x:c r="O96" s="66" t="n">
        <x:f>N96*4</x:f>
        <x:v>1.959999999999999</x:v>
      </x:c>
      <x:c r="P96" s="66" t="n">
        <x:f>N96*10</x:f>
        <x:v>4.899999999999998</x:v>
      </x:c>
      <x:c r="Q96" s="60" t="str">
        <x:f>IF(N96&gt;=0.9,"High",IF(N96&gt;=0.5,"Moderate","Low"))</x:f>
        <x:v>Low</x:v>
      </x:c>
      <x:c r="R96" s="60" t="n">
        <x:v>30</x:v>
      </x:c>
      <x:c r="S96" s="60" t="str">
        <x:v>KEEP EXISTING</x:v>
      </x:c>
      <x:c r="T96" s="62" t="str">
        <x:f>IF(N96&gt;0,"Target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6" s="62" t="str">
        <x:v>Apply target base-stat minus source base-stat to each live stat once; no RNG at evolution.</x:v>
      </x:c>
      <x:c r="V96" s="62" t="str">
        <x:v>Regional_Dex_Progression_Learnsets_v3.xlsx</x:v>
      </x:c>
    </x:row>
    <x:row r="97">
      <x:c r="A97" s="60" t="n">
        <x:v>94</x:v>
      </x:c>
      <x:c r="B97" s="60" t="n">
        <x:v>171</x:v>
      </x:c>
      <x:c r="C97" s="62" t="str">
        <x:v>Rimebex</x:v>
      </x:c>
      <x:c r="D97" s="62" t="n">
        <x:v>172</x:v>
      </x:c>
      <x:c r="E97" s="62" t="str">
        <x:v>Aegishorn</x:v>
      </x:c>
      <x:c r="F97" s="62" t="str">
        <x:v>LEVEL</x:v>
      </x:c>
      <x:c r="G97" s="62" t="n">
        <x:v>50</x:v>
      </x:c>
      <x:c r="H97" s="62" t="str"/>
      <x:c r="I97" s="60" t="n">
        <x:f>VLOOKUP(B97,'Full Dex + Growth'!$A$4:$R$190,11,FALSE)</x:f>
        <x:v>420</x:v>
      </x:c>
      <x:c r="J97" s="60" t="n">
        <x:f>VLOOKUP(D97,'Full Dex + Growth'!$A$4:$R$190,11,FALSE)</x:f>
        <x:v>600</x:v>
      </x:c>
      <x:c r="K97" s="60" t="n">
        <x:f>J97-I97</x:f>
        <x:v>180</x:v>
      </x:c>
      <x:c r="L97" s="66" t="n">
        <x:f>VLOOKUP(B97,'Full Dex + Growth'!$A$4:$R$190,18,FALSE)</x:f>
        <x:v>2.53</x:v>
      </x:c>
      <x:c r="M97" s="66" t="n">
        <x:f>VLOOKUP(D97,'Full Dex + Growth'!$A$4:$R$190,18,FALSE)</x:f>
        <x:v>3.44</x:v>
      </x:c>
      <x:c r="N97" s="66" t="n">
        <x:f>M97-L97</x:f>
        <x:v>0.9100000000000001</x:v>
      </x:c>
      <x:c r="O97" s="66" t="n">
        <x:f>N97*4</x:f>
        <x:v>3.6400000000000006</x:v>
      </x:c>
      <x:c r="P97" s="66" t="n">
        <x:f>N97*10</x:f>
        <x:v>9.100000000000001</x:v>
      </x:c>
      <x:c r="Q97" s="60" t="str">
        <x:f>IF(N97&gt;=0.9,"High",IF(N97&gt;=0.5,"Moderate","Low"))</x:f>
        <x:v>High</x:v>
      </x:c>
      <x:c r="R97" s="60" t="n">
        <x:v>50</x:v>
      </x:c>
      <x:c r="S97" s="60" t="str">
        <x:v>KEEP EXISTING</x:v>
      </x:c>
      <x:c r="T97" s="62" t="str">
        <x:f>IF(N97&gt;0,"Target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7" s="62" t="str">
        <x:v>Apply target base-stat minus source base-stat to each live stat once; no RNG at evolution.</x:v>
      </x:c>
      <x:c r="V97" s="62" t="str">
        <x:v>Regional_Dex_Progression_Learnsets_v3.xlsx</x:v>
      </x:c>
    </x:row>
    <x:row r="98">
      <x:c r="A98" s="60" t="n">
        <x:v>95</x:v>
      </x:c>
      <x:c r="B98" s="60" t="n">
        <x:v>178</x:v>
      </x:c>
      <x:c r="C98" s="62" t="str">
        <x:v>Sidermite</x:v>
      </x:c>
      <x:c r="D98" s="62" t="n">
        <x:v>179</x:v>
      </x:c>
      <x:c r="E98" s="62" t="str">
        <x:v>Xenolithid</x:v>
      </x:c>
      <x:c r="F98" s="62" t="str">
        <x:v>LEVEL</x:v>
      </x:c>
      <x:c r="G98" s="62" t="n">
        <x:v>40</x:v>
      </x:c>
      <x:c r="H98" s="62" t="str"/>
      <x:c r="I98" s="60" t="n">
        <x:f>VLOOKUP(B98,'Full Dex + Growth'!$A$4:$R$190,11,FALSE)</x:f>
        <x:v>330</x:v>
      </x:c>
      <x:c r="J98" s="60" t="n">
        <x:f>VLOOKUP(D98,'Full Dex + Growth'!$A$4:$R$190,11,FALSE)</x:f>
        <x:v>510</x:v>
      </x:c>
      <x:c r="K98" s="60" t="n">
        <x:f>J98-I98</x:f>
        <x:v>180</x:v>
      </x:c>
      <x:c r="L98" s="66" t="n">
        <x:f>VLOOKUP(B98,'Full Dex + Growth'!$A$4:$R$190,18,FALSE)</x:f>
        <x:v>2.18</x:v>
      </x:c>
      <x:c r="M98" s="66" t="n">
        <x:f>VLOOKUP(D98,'Full Dex + Growth'!$A$4:$R$190,18,FALSE)</x:f>
        <x:v>2.93</x:v>
      </x:c>
      <x:c r="N98" s="66" t="n">
        <x:f>M98-L98</x:f>
        <x:v>0.75</x:v>
      </x:c>
      <x:c r="O98" s="66" t="n">
        <x:f>N98*4</x:f>
        <x:v>3</x:v>
      </x:c>
      <x:c r="P98" s="66" t="n">
        <x:f>N98*10</x:f>
        <x:v>7.5</x:v>
      </x:c>
      <x:c r="Q98" s="60" t="str">
        <x:f>IF(N98&gt;=0.9,"High",IF(N98&gt;=0.5,"Moderate","Low"))</x:f>
        <x:v>Moderate</x:v>
      </x:c>
      <x:c r="R98" s="60" t="n">
        <x:v>40</x:v>
      </x:c>
      <x:c r="S98" s="60" t="str">
        <x:v>KEEP EXISTING</x:v>
      </x:c>
      <x:c r="T98" s="62" t="str">
        <x:f>IF(N98&gt;0,"Target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8" s="62" t="str">
        <x:v>Apply target base-stat minus source base-stat to each live stat once; no RNG at evolution.</x:v>
      </x:c>
      <x:c r="V98" s="62" t="str">
        <x:v>Regional_Dex_Progression_Learnsets_v3.xlsx</x:v>
      </x:c>
    </x:row>
    <x:row r="99">
      <x:c r="A99" s="60" t="n">
        <x:v>96</x:v>
      </x:c>
      <x:c r="B99" s="60" t="n">
        <x:v>180</x:v>
      </x:c>
      <x:c r="C99" s="62" t="str">
        <x:v>Gravodo</x:v>
      </x:c>
      <x:c r="D99" s="62" t="n">
        <x:v>181</x:v>
      </x:c>
      <x:c r="E99" s="62" t="str">
        <x:v>Cairnodo</x:v>
      </x:c>
      <x:c r="F99" s="62" t="str">
        <x:v>LEVEL</x:v>
      </x:c>
      <x:c r="G99" s="62" t="n">
        <x:v>28</x:v>
      </x:c>
      <x:c r="H99" s="62" t="str"/>
      <x:c r="I99" s="60" t="n">
        <x:f>VLOOKUP(B99,'Full Dex + Growth'!$A$4:$R$190,11,FALSE)</x:f>
        <x:v>320</x:v>
      </x:c>
      <x:c r="J99" s="60" t="n">
        <x:f>VLOOKUP(D99,'Full Dex + Growth'!$A$4:$R$190,11,FALSE)</x:f>
        <x:v>415</x:v>
      </x:c>
      <x:c r="K99" s="60" t="n">
        <x:f>J99-I99</x:f>
        <x:v>95</x:v>
      </x:c>
      <x:c r="L99" s="66" t="n">
        <x:f>VLOOKUP(B99,'Full Dex + Growth'!$A$4:$R$190,18,FALSE)</x:f>
        <x:v>2.19</x:v>
      </x:c>
      <x:c r="M99" s="66" t="n">
        <x:f>VLOOKUP(D99,'Full Dex + Growth'!$A$4:$R$190,18,FALSE)</x:f>
        <x:v>2.63</x:v>
      </x:c>
      <x:c r="N99" s="66" t="n">
        <x:f>M99-L99</x:f>
        <x:v>0.43999999999999995</x:v>
      </x:c>
      <x:c r="O99" s="66" t="n">
        <x:f>N99*4</x:f>
        <x:v>1.7599999999999998</x:v>
      </x:c>
      <x:c r="P99" s="66" t="n">
        <x:f>N99*10</x:f>
        <x:v>4.3999999999999995</x:v>
      </x:c>
      <x:c r="Q99" s="60" t="str">
        <x:f>IF(N99&gt;=0.9,"High",IF(N99&gt;=0.5,"Moderate","Low"))</x:f>
        <x:v>Low</x:v>
      </x:c>
      <x:c r="R99" s="60" t="n">
        <x:v>28</x:v>
      </x:c>
      <x:c r="S99" s="60" t="str">
        <x:v>KEEP EXISTING</x:v>
      </x:c>
      <x:c r="T99" s="62" t="str">
        <x:f>IF(N99&gt;0,"Target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99" s="62" t="str">
        <x:v>Apply target base-stat minus source base-stat to each live stat once; no RNG at evolution.</x:v>
      </x:c>
      <x:c r="V99" s="62" t="str">
        <x:v>Regional_Dex_Progression_Learnsets_v3.xlsx</x:v>
      </x:c>
    </x:row>
    <x:row r="100">
      <x:c r="A100" s="60" t="n">
        <x:v>97</x:v>
      </x:c>
      <x:c r="B100" s="60" t="n">
        <x:v>181</x:v>
      </x:c>
      <x:c r="C100" s="62" t="str">
        <x:v>Cairnodo</x:v>
      </x:c>
      <x:c r="D100" s="62" t="n">
        <x:v>182</x:v>
      </x:c>
      <x:c r="E100" s="62" t="str">
        <x:v>Kronodo</x:v>
      </x:c>
      <x:c r="F100" s="62" t="str">
        <x:v>LEVEL</x:v>
      </x:c>
      <x:c r="G100" s="62" t="n">
        <x:v>48</x:v>
      </x:c>
      <x:c r="H100" s="62" t="str"/>
      <x:c r="I100" s="60" t="n">
        <x:f>VLOOKUP(B100,'Full Dex + Growth'!$A$4:$R$190,11,FALSE)</x:f>
        <x:v>415</x:v>
      </x:c>
      <x:c r="J100" s="60" t="n">
        <x:f>VLOOKUP(D100,'Full Dex + Growth'!$A$4:$R$190,11,FALSE)</x:f>
        <x:v>535</x:v>
      </x:c>
      <x:c r="K100" s="60" t="n">
        <x:f>J100-I100</x:f>
        <x:v>120</x:v>
      </x:c>
      <x:c r="L100" s="66" t="n">
        <x:f>VLOOKUP(B100,'Full Dex + Growth'!$A$4:$R$190,18,FALSE)</x:f>
        <x:v>2.63</x:v>
      </x:c>
      <x:c r="M100" s="66" t="n">
        <x:f>VLOOKUP(D100,'Full Dex + Growth'!$A$4:$R$190,18,FALSE)</x:f>
        <x:v>3.41</x:v>
      </x:c>
      <x:c r="N100" s="66" t="n">
        <x:f>M100-L100</x:f>
        <x:v>0.7800000000000002</x:v>
      </x:c>
      <x:c r="O100" s="66" t="n">
        <x:f>N100*4</x:f>
        <x:v>3.120000000000001</x:v>
      </x:c>
      <x:c r="P100" s="66" t="n">
        <x:f>N100*10</x:f>
        <x:v>7.8000000000000025</x:v>
      </x:c>
      <x:c r="Q100" s="60" t="str">
        <x:f>IF(N100&gt;=0.9,"High",IF(N100&gt;=0.5,"Moderate","Low"))</x:f>
        <x:v>Moderate</x:v>
      </x:c>
      <x:c r="R100" s="60" t="n">
        <x:v>48</x:v>
      </x:c>
      <x:c r="S100" s="60" t="str">
        <x:v>KEEP EXISTING</x:v>
      </x:c>
      <x:c r="T100" s="62" t="str">
        <x:f>IF(N100&gt;0,"Target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00" s="62" t="str">
        <x:v>Apply target base-stat minus source base-stat to each live stat once; no RNG at evolution.</x:v>
      </x:c>
      <x:c r="V100" s="62" t="str">
        <x:v>Regional_Dex_Progression_Learnsets_v3.xlsx</x:v>
      </x:c>
    </x:row>
    <x:row r="101">
      <x:c r="A101" s="60" t="n">
        <x:v>98</x:v>
      </x:c>
      <x:c r="B101" s="60" t="n">
        <x:v>186</x:v>
      </x:c>
      <x:c r="C101" s="62" t="str">
        <x:v>Suncub</x:v>
      </x:c>
      <x:c r="D101" s="62" t="n">
        <x:v>187</x:v>
      </x:c>
      <x:c r="E101" s="62" t="str">
        <x:v>Cehong</x:v>
      </x:c>
      <x:c r="F101" s="62" t="str">
        <x:v>ITEM</x:v>
      </x:c>
      <x:c r="G101" s="62" t="n">
        <x:v>40</x:v>
      </x:c>
      <x:c r="H101" s="62" t="str">
        <x:v>Sun Relic</x:v>
      </x:c>
      <x:c r="I101" s="60" t="n">
        <x:f>VLOOKUP(B101,'Full Dex + Growth'!$A$4:$R$190,11,FALSE)</x:f>
        <x:v>420</x:v>
      </x:c>
      <x:c r="J101" s="60" t="n">
        <x:f>VLOOKUP(D101,'Full Dex + Growth'!$A$4:$R$190,11,FALSE)</x:f>
        <x:v>600</x:v>
      </x:c>
      <x:c r="K101" s="60" t="n">
        <x:f>J101-I101</x:f>
        <x:v>180</x:v>
      </x:c>
      <x:c r="L101" s="66" t="n">
        <x:f>VLOOKUP(B101,'Full Dex + Growth'!$A$4:$R$190,18,FALSE)</x:f>
        <x:v>2.45</x:v>
      </x:c>
      <x:c r="M101" s="66" t="n">
        <x:f>VLOOKUP(D101,'Full Dex + Growth'!$A$4:$R$190,18,FALSE)</x:f>
        <x:v>3.1</x:v>
      </x:c>
      <x:c r="N101" s="66" t="n">
        <x:f>M101-L101</x:f>
        <x:v>0.6499999999999999</x:v>
      </x:c>
      <x:c r="O101" s="66" t="n">
        <x:f>N101*4</x:f>
        <x:v>2.5999999999999996</x:v>
      </x:c>
      <x:c r="P101" s="66" t="n">
        <x:f>N101*10</x:f>
        <x:v>6.499999999999999</x:v>
      </x:c>
      <x:c r="Q101" s="60" t="str">
        <x:f>IF(N101&gt;=0.9,"High",IF(N101&gt;=0.5,"Moderate","Low"))</x:f>
        <x:v>Moderate</x:v>
      </x:c>
      <x:c r="R101" s="60" t="n">
        <x:v>40</x:v>
      </x:c>
      <x:c r="S101" s="60" t="str">
        <x:v>KEEP EXISTING</x:v>
      </x:c>
      <x:c r="T101" s="62" t="str">
        <x:f>IF(N101&gt;0,"Target has the higher total growth budget; delaying evolution permanently loses expected stat growth.","REVIEW — source growth is not lower.")</x:f>
        <x:v>Target has the higher total growth budget; delaying evolution permanently loses expected stat growth.</x:v>
      </x:c>
      <x:c r="U101" s="62" t="str">
        <x:v>Apply target base-stat minus source base-stat to each live stat once; no RNG at evolution.</x:v>
      </x:c>
      <x:c r="V101" s="62" t="str">
        <x:v>Regional_Dex_Progression_Learnsets_v3.xlsx</x:v>
      </x:c>
    </x:row>
  </x:sheetData>
  <x:mergeCells>
    <x:mergeCell ref="A1:V1"/>
  </x:mergeCells>
  <x:conditionalFormatting sqref="Q4:Q101">
    <x:cfRule type="expression" dxfId="2" priority="1">
      <x:formula>Q4="High"</x:formula>
    </x:cfRule>
  </x:conditionalFormatting>
  <x:conditionalFormatting sqref="S4:S101">
    <x:cfRule type="expression" dxfId="3" priority="2">
      <x:formula>S4="KEEP EXISTING"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9ab71fe19945ac"/>
  </x:tableParts>
</x:worksheet>
</file>